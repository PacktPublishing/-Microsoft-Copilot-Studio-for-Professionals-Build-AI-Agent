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hun Sports worked example" sheetId="1" state="visible" r:id="rId1"/>
    <sheet xmlns:r="http://schemas.openxmlformats.org/officeDocument/2006/relationships" name="Blank - your forecast" sheetId="2" state="visible" r:id="rId2"/>
    <sheet xmlns:r="http://schemas.openxmlformats.org/officeDocument/2006/relationships" name="Cost statement for Morg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&quot;x&quot;"/>
  </numFmts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  <color rgb="001F3A5F"/>
      <sz val="13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9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3" borderId="0" pivotButton="0" quotePrefix="0" xfId="0"/>
    <xf numFmtId="9" fontId="0" fillId="3" borderId="0" pivotButton="0" quotePrefix="0" xfId="0"/>
    <xf numFmtId="3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Pashun Sports T-Shirts - Customer Service Agent credits forecast</t>
        </is>
      </c>
    </row>
    <row r="2" ht="32" customHeight="1">
      <c r="A2" s="2" t="inlineStr">
        <is>
          <t>Indicative US dollar figures, October 2026. Check Microsoft's live pricing page and your admin center before using in a business case. Blue cells are inputs.</t>
        </is>
      </c>
    </row>
    <row r="4">
      <c r="A4" s="3" t="inlineStr">
        <is>
          <t>1. Traffic assumptions</t>
        </is>
      </c>
      <c r="B4" s="3" t="n"/>
      <c r="C4" s="3" t="n"/>
      <c r="D4" s="3" t="n"/>
    </row>
    <row r="5">
      <c r="A5" t="inlineStr">
        <is>
          <t>Expected number of users</t>
        </is>
      </c>
      <c r="B5" s="4" t="n">
        <v>300</v>
      </c>
    </row>
    <row r="6">
      <c r="A6" t="inlineStr">
        <is>
          <t>Percentage who use it in a month</t>
        </is>
      </c>
      <c r="B6" s="5" t="n">
        <v>0.5</v>
      </c>
    </row>
    <row r="7">
      <c r="A7" t="inlineStr">
        <is>
          <t>Conversations per active user per month</t>
        </is>
      </c>
      <c r="B7" s="4" t="n">
        <v>2</v>
      </c>
    </row>
    <row r="8">
      <c r="A8" t="inlineStr">
        <is>
          <t>Average interactions per conversation</t>
        </is>
      </c>
      <c r="B8" s="4" t="n">
        <v>5</v>
      </c>
    </row>
    <row r="9">
      <c r="A9" t="inlineStr">
        <is>
          <t>Active users per month</t>
        </is>
      </c>
      <c r="B9">
        <f>B5*B6</f>
        <v/>
      </c>
    </row>
    <row r="10">
      <c r="A10" t="inlineStr">
        <is>
          <t>Conversations per month</t>
        </is>
      </c>
      <c r="B10">
        <f>B9*B7</f>
        <v/>
      </c>
    </row>
    <row r="11">
      <c r="A11" t="inlineStr">
        <is>
          <t>Interactions per month</t>
        </is>
      </c>
      <c r="B11">
        <f>B10*B8</f>
        <v/>
      </c>
    </row>
    <row r="13">
      <c r="A13" s="3" t="inlineStr">
        <is>
          <t>2. Credit rates (Standard harness)</t>
        </is>
      </c>
      <c r="B13" s="3" t="inlineStr">
        <is>
          <t>Credits</t>
        </is>
      </c>
      <c r="C13" s="3" t="n"/>
      <c r="D13" s="3" t="n"/>
    </row>
    <row r="14">
      <c r="A14" t="inlineStr">
        <is>
          <t>Classic answer (fixed answer you wrote)</t>
        </is>
      </c>
      <c r="B14" t="n">
        <v>1</v>
      </c>
    </row>
    <row r="15">
      <c r="A15" t="inlineStr">
        <is>
          <t>Generative answer (written from your documents)</t>
        </is>
      </c>
      <c r="B15" t="n">
        <v>2</v>
      </c>
    </row>
    <row r="16">
      <c r="A16" t="inlineStr">
        <is>
          <t>Agent action (tool, trigger or topic step)</t>
        </is>
      </c>
      <c r="B16" t="n">
        <v>5</v>
      </c>
    </row>
    <row r="17">
      <c r="A17" t="inlineStr">
        <is>
          <t>Searching across work content (Microsoft Graph)</t>
        </is>
      </c>
      <c r="B17" t="n">
        <v>10</v>
      </c>
    </row>
    <row r="18">
      <c r="A18" t="inlineStr">
        <is>
          <t>Price per credit, pay-as-you-go (USD)</t>
        </is>
      </c>
      <c r="B18" s="4" t="n">
        <v>0.01</v>
      </c>
    </row>
    <row r="19">
      <c r="A19" t="inlineStr">
        <is>
          <t>Prepaid capacity pack: credits per month</t>
        </is>
      </c>
      <c r="B19" s="6" t="n">
        <v>25000</v>
      </c>
    </row>
    <row r="20">
      <c r="A20" t="inlineStr">
        <is>
          <t>Prepaid capacity pack: price per month (USD, approx.)</t>
        </is>
      </c>
      <c r="B20" t="n">
        <v>200</v>
      </c>
    </row>
    <row r="22">
      <c r="A22" s="3" t="inlineStr">
        <is>
          <t>3. Lean design vs rich design</t>
        </is>
      </c>
      <c r="B22" s="3" t="inlineStr">
        <is>
          <t>Lean</t>
        </is>
      </c>
      <c r="C22" s="3" t="inlineStr">
        <is>
          <t>Rich</t>
        </is>
      </c>
      <c r="D22" s="3" t="inlineStr">
        <is>
          <t>Notes</t>
        </is>
      </c>
    </row>
    <row r="23">
      <c r="A23" t="inlineStr">
        <is>
          <t>Share of interactions answered by scripted topics (classic)</t>
        </is>
      </c>
      <c r="B23" s="5" t="n">
        <v>0.6</v>
      </c>
      <c r="C23" s="5" t="n">
        <v>0</v>
      </c>
      <c r="D23" t="inlineStr">
        <is>
          <t>Lean: deflect predictable FAQs to topics</t>
        </is>
      </c>
    </row>
    <row r="24">
      <c r="A24" t="inlineStr">
        <is>
          <t>Share answered by generative answers over documents</t>
        </is>
      </c>
      <c r="B24" s="5" t="n">
        <v>0.35</v>
      </c>
      <c r="C24" s="5" t="n">
        <v>1</v>
      </c>
    </row>
    <row r="25">
      <c r="A25" t="inlineStr">
        <is>
          <t>Share that run an agent action (e.g. log a return)</t>
        </is>
      </c>
      <c r="B25" s="5" t="n">
        <v>0.05</v>
      </c>
      <c r="C25" s="5" t="n">
        <v>0</v>
      </c>
    </row>
    <row r="26">
      <c r="A26" t="inlineStr">
        <is>
          <t>Share that also search work content (Microsoft Graph)</t>
        </is>
      </c>
      <c r="B26" s="5" t="n">
        <v>0</v>
      </c>
      <c r="C26" s="5" t="n">
        <v>1</v>
      </c>
      <c r="D26" t="inlineStr">
        <is>
          <t>Rich: everything generative plus Microsoft 365 search</t>
        </is>
      </c>
    </row>
    <row r="27">
      <c r="A27" t="inlineStr">
        <is>
          <t>Check: classic + generative + action shares (must be 100%)</t>
        </is>
      </c>
      <c r="B27" s="7">
        <f>B23+B24+B25</f>
        <v/>
      </c>
      <c r="C27" s="7">
        <f>C23+C24+C25</f>
        <v/>
      </c>
    </row>
    <row r="29">
      <c r="A29" t="inlineStr">
        <is>
          <t>Credits per interaction</t>
        </is>
      </c>
      <c r="B29">
        <f>B23*$B$14+B24*$B$15+B25*$B$16+B26*$B$17</f>
        <v/>
      </c>
      <c r="C29">
        <f>C23*$B$14+C24*$B$15+C25*$B$16+C26*$B$17</f>
        <v/>
      </c>
    </row>
    <row r="30">
      <c r="A30" t="inlineStr">
        <is>
          <t>Credits per month</t>
        </is>
      </c>
      <c r="B30" s="6">
        <f>B29*$B$11</f>
        <v/>
      </c>
      <c r="C30" s="6">
        <f>C29*$B$11</f>
        <v/>
      </c>
    </row>
    <row r="31">
      <c r="A31" t="inlineStr">
        <is>
          <t>Cost per month at pay-as-you-go (USD)</t>
        </is>
      </c>
      <c r="B31" s="8">
        <f>B30*$B$18</f>
        <v/>
      </c>
      <c r="C31" s="8">
        <f>C30*$B$18</f>
        <v/>
      </c>
    </row>
    <row r="32">
      <c r="A32" t="inlineStr">
        <is>
          <t>Prepaid packs needed (25,000 credits each)</t>
        </is>
      </c>
      <c r="B32">
        <f>ROUNDUP(B30/$B$19,0)</f>
        <v/>
      </c>
      <c r="C32">
        <f>ROUNDUP(C30/$B$19,0)</f>
        <v/>
      </c>
    </row>
    <row r="33">
      <c r="A33" t="inlineStr">
        <is>
          <t>Rich design costs this many times the lean design</t>
        </is>
      </c>
      <c r="B33" s="9">
        <f>IF(B30=0,"",C30/B30)</f>
        <v/>
      </c>
    </row>
    <row r="35">
      <c r="A35" s="3" t="inlineStr">
        <is>
          <t>4. Worst case and controls</t>
        </is>
      </c>
      <c r="B35" s="3" t="n"/>
      <c r="C35" s="3" t="n"/>
      <c r="D35" s="3" t="n"/>
    </row>
    <row r="36">
      <c r="A36" t="inlineStr">
        <is>
          <t>Worst-case multiplier on usage (e.g. 2 = double the adoption)</t>
        </is>
      </c>
      <c r="B36" s="4" t="n">
        <v>2</v>
      </c>
    </row>
    <row r="37">
      <c r="A37" t="inlineStr">
        <is>
          <t>Worst-case credits per month (lean design)</t>
        </is>
      </c>
      <c r="B37" s="6">
        <f>B30*B36</f>
        <v/>
      </c>
    </row>
    <row r="38">
      <c r="A38" t="inlineStr">
        <is>
          <t>Worst-case cost per month (USD)</t>
        </is>
      </c>
      <c r="B38" s="8">
        <f>B37*B18</f>
        <v/>
      </c>
    </row>
    <row r="40" ht="48" customHeight="1">
      <c r="A40" s="10" t="inlineStr">
        <is>
          <t>Notes: one reply can combine steps (a generative answer that also searches work content = 12 credits). Automated flow steps cost 13 credits per 100 steps. Reasoning models add an extra charge. The GitHub Copilot harness is billed on usage - pilot it and watch the Monitor tab.</t>
        </is>
      </c>
    </row>
  </sheetData>
  <mergeCells count="1">
    <mergeCell ref="A40:D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My agent - credits forecast</t>
        </is>
      </c>
    </row>
    <row r="2" ht="32" customHeight="1">
      <c r="A2" s="2" t="inlineStr">
        <is>
          <t>Indicative US dollar figures, October 2026. Check Microsoft's live pricing page and your admin center before using in a business case. Blue cells are inputs.</t>
        </is>
      </c>
    </row>
    <row r="4">
      <c r="A4" s="3" t="inlineStr">
        <is>
          <t>1. Traffic assumptions</t>
        </is>
      </c>
      <c r="B4" s="3" t="n"/>
      <c r="C4" s="3" t="n"/>
      <c r="D4" s="3" t="n"/>
    </row>
    <row r="5">
      <c r="A5" t="inlineStr">
        <is>
          <t>Expected number of users</t>
        </is>
      </c>
      <c r="B5" s="4" t="n"/>
    </row>
    <row r="6">
      <c r="A6" t="inlineStr">
        <is>
          <t>Percentage who use it in a month</t>
        </is>
      </c>
      <c r="B6" s="5" t="n"/>
    </row>
    <row r="7">
      <c r="A7" t="inlineStr">
        <is>
          <t>Conversations per active user per month</t>
        </is>
      </c>
      <c r="B7" s="4" t="n"/>
    </row>
    <row r="8">
      <c r="A8" t="inlineStr">
        <is>
          <t>Average interactions per conversation</t>
        </is>
      </c>
      <c r="B8" s="4" t="n"/>
    </row>
    <row r="9">
      <c r="A9" t="inlineStr">
        <is>
          <t>Active users per month</t>
        </is>
      </c>
      <c r="B9">
        <f>B5*B6</f>
        <v/>
      </c>
    </row>
    <row r="10">
      <c r="A10" t="inlineStr">
        <is>
          <t>Conversations per month</t>
        </is>
      </c>
      <c r="B10">
        <f>B9*B7</f>
        <v/>
      </c>
    </row>
    <row r="11">
      <c r="A11" t="inlineStr">
        <is>
          <t>Interactions per month</t>
        </is>
      </c>
      <c r="B11">
        <f>B10*B8</f>
        <v/>
      </c>
    </row>
    <row r="13">
      <c r="A13" s="3" t="inlineStr">
        <is>
          <t>2. Credit rates (Standard harness)</t>
        </is>
      </c>
      <c r="B13" s="3" t="inlineStr">
        <is>
          <t>Credits</t>
        </is>
      </c>
      <c r="C13" s="3" t="n"/>
      <c r="D13" s="3" t="n"/>
    </row>
    <row r="14">
      <c r="A14" t="inlineStr">
        <is>
          <t>Classic answer (fixed answer you wrote)</t>
        </is>
      </c>
      <c r="B14" t="n">
        <v>1</v>
      </c>
    </row>
    <row r="15">
      <c r="A15" t="inlineStr">
        <is>
          <t>Generative answer (written from your documents)</t>
        </is>
      </c>
      <c r="B15" t="n">
        <v>2</v>
      </c>
    </row>
    <row r="16">
      <c r="A16" t="inlineStr">
        <is>
          <t>Agent action (tool, trigger or topic step)</t>
        </is>
      </c>
      <c r="B16" t="n">
        <v>5</v>
      </c>
    </row>
    <row r="17">
      <c r="A17" t="inlineStr">
        <is>
          <t>Searching across work content (Microsoft Graph)</t>
        </is>
      </c>
      <c r="B17" t="n">
        <v>10</v>
      </c>
    </row>
    <row r="18">
      <c r="A18" t="inlineStr">
        <is>
          <t>Price per credit, pay-as-you-go (USD)</t>
        </is>
      </c>
      <c r="B18" s="4" t="n">
        <v>0.01</v>
      </c>
    </row>
    <row r="19">
      <c r="A19" t="inlineStr">
        <is>
          <t>Prepaid capacity pack: credits per month</t>
        </is>
      </c>
      <c r="B19" s="6" t="n">
        <v>25000</v>
      </c>
    </row>
    <row r="20">
      <c r="A20" t="inlineStr">
        <is>
          <t>Prepaid capacity pack: price per month (USD, approx.)</t>
        </is>
      </c>
      <c r="B20" t="n">
        <v>200</v>
      </c>
    </row>
    <row r="22">
      <c r="A22" s="3" t="inlineStr">
        <is>
          <t>3. Lean design vs rich design</t>
        </is>
      </c>
      <c r="B22" s="3" t="inlineStr">
        <is>
          <t>Lean</t>
        </is>
      </c>
      <c r="C22" s="3" t="inlineStr">
        <is>
          <t>Rich</t>
        </is>
      </c>
      <c r="D22" s="3" t="inlineStr">
        <is>
          <t>Notes</t>
        </is>
      </c>
    </row>
    <row r="23">
      <c r="A23" t="inlineStr">
        <is>
          <t>Share of interactions answered by scripted topics (classic)</t>
        </is>
      </c>
      <c r="B23" s="5" t="n"/>
      <c r="C23" s="5" t="n">
        <v>0</v>
      </c>
      <c r="D23" t="inlineStr">
        <is>
          <t>Lean: deflect predictable FAQs to topics</t>
        </is>
      </c>
    </row>
    <row r="24">
      <c r="A24" t="inlineStr">
        <is>
          <t>Share answered by generative answers over documents</t>
        </is>
      </c>
      <c r="B24" s="5" t="n"/>
      <c r="C24" s="5" t="n">
        <v>1</v>
      </c>
    </row>
    <row r="25">
      <c r="A25" t="inlineStr">
        <is>
          <t>Share that run an agent action (e.g. log a return)</t>
        </is>
      </c>
      <c r="B25" s="5" t="n"/>
      <c r="C25" s="5" t="n">
        <v>0</v>
      </c>
    </row>
    <row r="26">
      <c r="A26" t="inlineStr">
        <is>
          <t>Share that also search work content (Microsoft Graph)</t>
        </is>
      </c>
      <c r="B26" s="5" t="n"/>
      <c r="C26" s="5" t="n">
        <v>1</v>
      </c>
      <c r="D26" t="inlineStr">
        <is>
          <t>Rich: everything generative plus Microsoft 365 search</t>
        </is>
      </c>
    </row>
    <row r="27">
      <c r="A27" t="inlineStr">
        <is>
          <t>Check: classic + generative + action shares (must be 100%)</t>
        </is>
      </c>
      <c r="B27" s="7">
        <f>B23+B24+B25</f>
        <v/>
      </c>
      <c r="C27" s="7">
        <f>C23+C24+C25</f>
        <v/>
      </c>
    </row>
    <row r="29">
      <c r="A29" t="inlineStr">
        <is>
          <t>Credits per interaction</t>
        </is>
      </c>
      <c r="B29">
        <f>B23*$B$14+B24*$B$15+B25*$B$16+B26*$B$17</f>
        <v/>
      </c>
      <c r="C29">
        <f>C23*$B$14+C24*$B$15+C25*$B$16+C26*$B$17</f>
        <v/>
      </c>
    </row>
    <row r="30">
      <c r="A30" t="inlineStr">
        <is>
          <t>Credits per month</t>
        </is>
      </c>
      <c r="B30" s="6">
        <f>B29*$B$11</f>
        <v/>
      </c>
      <c r="C30" s="6">
        <f>C29*$B$11</f>
        <v/>
      </c>
    </row>
    <row r="31">
      <c r="A31" t="inlineStr">
        <is>
          <t>Cost per month at pay-as-you-go (USD)</t>
        </is>
      </c>
      <c r="B31" s="8">
        <f>B30*$B$18</f>
        <v/>
      </c>
      <c r="C31" s="8">
        <f>C30*$B$18</f>
        <v/>
      </c>
    </row>
    <row r="32">
      <c r="A32" t="inlineStr">
        <is>
          <t>Prepaid packs needed (25,000 credits each)</t>
        </is>
      </c>
      <c r="B32">
        <f>ROUNDUP(B30/$B$19,0)</f>
        <v/>
      </c>
      <c r="C32">
        <f>ROUNDUP(C30/$B$19,0)</f>
        <v/>
      </c>
    </row>
    <row r="33">
      <c r="A33" t="inlineStr">
        <is>
          <t>Rich design costs this many times the lean design</t>
        </is>
      </c>
      <c r="B33" s="9">
        <f>IF(B30=0,"",C30/B30)</f>
        <v/>
      </c>
    </row>
    <row r="35">
      <c r="A35" s="3" t="inlineStr">
        <is>
          <t>4. Worst case and controls</t>
        </is>
      </c>
      <c r="B35" s="3" t="n"/>
      <c r="C35" s="3" t="n"/>
      <c r="D35" s="3" t="n"/>
    </row>
    <row r="36">
      <c r="A36" t="inlineStr">
        <is>
          <t>Worst-case multiplier on usage (e.g. 2 = double the adoption)</t>
        </is>
      </c>
      <c r="B36" s="4" t="n">
        <v>2</v>
      </c>
    </row>
    <row r="37">
      <c r="A37" t="inlineStr">
        <is>
          <t>Worst-case credits per month (lean design)</t>
        </is>
      </c>
      <c r="B37" s="6">
        <f>B30*B36</f>
        <v/>
      </c>
    </row>
    <row r="38">
      <c r="A38" t="inlineStr">
        <is>
          <t>Worst-case cost per month (USD)</t>
        </is>
      </c>
      <c r="B38" s="8">
        <f>B37*B18</f>
        <v/>
      </c>
    </row>
    <row r="40" ht="48" customHeight="1">
      <c r="A40" s="10" t="inlineStr">
        <is>
          <t>Notes: one reply can combine steps (a generative answer that also searches work content = 12 credits). Automated flow steps cost 13 credits per 100 steps. Reasoning models add an extra charge. The GitHub Copilot harness is billed on usage - pilot it and watch the Monitor tab.</t>
        </is>
      </c>
    </row>
  </sheetData>
  <mergeCells count="1">
    <mergeCell ref="A40:D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" t="inlineStr">
        <is>
          <t>One-paragraph cost statement (goes to the budget holder)</t>
        </is>
      </c>
    </row>
    <row r="2">
      <c r="A2" s="10" t="inlineStr"/>
    </row>
    <row r="3">
      <c r="A3" s="10" t="inlineStr">
        <is>
          <t>Template: "We expect [CREDITS] Copilot Credits a month (about $[COST] at pay-as-you-go), based on [USERS] users, [ADOPTION] using the agent in a month, [CONVERSATIONS] conversations each and [INTERACTIONS] interactions per conversation, with [SHARE] of answers from scripted topics. The worst case, if adoption doubles, is [WORST CREDITS] credits ([WORST COST]). Controls: an Azure budget alert at 80%, topics for predictable questions, three curated knowledge sources, and a monthly review of the Monitor tab."</t>
        </is>
      </c>
    </row>
    <row r="4">
      <c r="A4" s="10" t="inlineStr"/>
    </row>
    <row r="5">
      <c r="A5" s="10" t="inlineStr">
        <is>
          <t>Pashun Sports example (read the figures from the worked-example sheet):</t>
        </is>
      </c>
    </row>
    <row r="6">
      <c r="A6" s="10" t="inlineStr">
        <is>
          <t>"We expect about 2,325 Copilot Credits a month (about $23 at pay-as-you-go), based on 300 customers, 50% using the agent in a month, 2 conversations each and 5 interactions per conversation, with 60% of answers from scripted topics. The worst case, if adoption doubles, is about 4,650 credits (about $47). If we answered everything with generative answers plus Microsoft 365 searches the same traffic would cost about 18,000 credits (about $180), roughly 7.7 times more. Controls: an Azure budget alert at 80% (it only emails, it does not stop spending), topics for predictable questions, three curated knowledge sources, and a monthly review of the Monitor tab."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2026-10-15T16:29:57Z</dcterms:created>
  <dcterms:modified xmlns:dcterms="http://purl.org/dc/terms/" xmlns:xsi="http://www.w3.org/2001/XMLSchema-instance" xsi:type="dcterms:W3CDTF">2026-10-15T16:29:57Z</dcterms:modified>
</cp:coreProperties>
</file>