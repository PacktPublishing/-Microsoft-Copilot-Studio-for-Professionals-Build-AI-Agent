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ssion Cost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Cost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0.00"/>
    <numFmt numFmtId="165" formatCode="$#,##0"/>
    <numFmt numFmtId="166" formatCode="0.0%"/>
    <numFmt numFmtId="167" formatCode="0.0&quot;x&quot;"/>
    <numFmt numFmtId="168" formatCode="$#,##0.00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</font>
    <font>
      <b val="1"/>
      <color rgb="00FFFFFF"/>
    </font>
    <font>
      <color rgb="000000FF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164" fontId="4" fillId="3" borderId="0" pivotButton="0" quotePrefix="0" xfId="0"/>
    <xf numFmtId="3" fontId="4" fillId="3" borderId="0" pivotButton="0" quotePrefix="0" xfId="0"/>
    <xf numFmtId="165" fontId="4" fillId="3" borderId="0" pivotButton="0" quotePrefix="0" xfId="0"/>
    <xf numFmtId="9" fontId="4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168" fontId="6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</cols>
  <sheetData>
    <row r="1">
      <c r="A1" s="1" t="inlineStr">
        <is>
          <t>Copilot Credit Cost Estimator - Pashun Sports Customer Service Agent</t>
        </is>
      </c>
    </row>
    <row r="2">
      <c r="A2" s="2" t="inlineStr">
        <is>
          <t>Yellow cells are inputs (blue text). Everything else is a formula. Indicative US dollar rates, October 2026: check Microsoft Learn and your admin center before quoting.</t>
        </is>
      </c>
    </row>
    <row r="4">
      <c r="A4" s="3" t="inlineStr">
        <is>
          <t>Answer type (Standard harness)</t>
        </is>
      </c>
      <c r="B4" s="3" t="inlineStr">
        <is>
          <t>Copilot Credits</t>
        </is>
      </c>
      <c r="C4" s="3" t="inlineStr">
        <is>
          <t>Source / note</t>
        </is>
      </c>
    </row>
    <row r="5">
      <c r="A5" t="inlineStr">
        <is>
          <t>Classic answer</t>
        </is>
      </c>
      <c r="B5" s="4" t="n">
        <v>1</v>
      </c>
      <c r="C5" t="inlineStr">
        <is>
          <t>Fixed answer you wrote (Lecture 3)</t>
        </is>
      </c>
    </row>
    <row r="6">
      <c r="A6" t="inlineStr">
        <is>
          <t>Generative answer</t>
        </is>
      </c>
      <c r="B6" s="4" t="n">
        <v>2</v>
      </c>
      <c r="C6" t="inlineStr">
        <is>
          <t>Written from your documents (Lecture 3)</t>
        </is>
      </c>
    </row>
    <row r="7">
      <c r="A7" t="inlineStr">
        <is>
          <t>Agent action</t>
        </is>
      </c>
      <c r="B7" s="4" t="n">
        <v>5</v>
      </c>
      <c r="C7" t="inlineStr">
        <is>
          <t>Tool, trigger or topic step (Lecture 3)</t>
        </is>
      </c>
    </row>
    <row r="8">
      <c r="A8" t="inlineStr">
        <is>
          <t>Work content search</t>
        </is>
      </c>
      <c r="B8" s="4" t="n">
        <v>10</v>
      </c>
      <c r="C8" t="inlineStr">
        <is>
          <t>Microsoft Graph search (Lecture 3)</t>
        </is>
      </c>
    </row>
    <row r="9">
      <c r="A9" t="inlineStr">
        <is>
          <t>Generative answer plus work search</t>
        </is>
      </c>
      <c r="B9">
        <f>B6+B8</f>
        <v/>
      </c>
      <c r="C9" t="inlineStr">
        <is>
          <t>One reply combining both = 12 (Lecture 3)</t>
        </is>
      </c>
    </row>
    <row r="10">
      <c r="A10" t="inlineStr">
        <is>
          <t>Automated flow step</t>
        </is>
      </c>
      <c r="B10">
        <f>13/100</f>
        <v/>
      </c>
      <c r="C10" t="inlineStr">
        <is>
          <t>13 credits per 100 flow steps (Lecture 3)</t>
        </is>
      </c>
    </row>
    <row r="12">
      <c r="A12" s="3" t="inlineStr">
        <is>
          <t>Pricing and planning inputs</t>
        </is>
      </c>
      <c r="B12" s="3" t="inlineStr">
        <is>
          <t>Value</t>
        </is>
      </c>
      <c r="C12" s="3" t="inlineStr">
        <is>
          <t>Note</t>
        </is>
      </c>
    </row>
    <row r="13">
      <c r="A13" t="inlineStr">
        <is>
          <t>Price per credit, pay-as-you-go ($)</t>
        </is>
      </c>
      <c r="B13" s="5" t="n">
        <v>0.01</v>
      </c>
      <c r="C13" t="inlineStr">
        <is>
          <t>About $0.01 per credit used, billed through Azure</t>
        </is>
      </c>
    </row>
    <row r="14">
      <c r="A14" t="inlineStr">
        <is>
          <t>Prepaid pack size (credits per month)</t>
        </is>
      </c>
      <c r="B14" s="6" t="n">
        <v>25000</v>
      </c>
      <c r="C14" t="inlineStr">
        <is>
          <t>One pack; unused credits do not roll over</t>
        </is>
      </c>
    </row>
    <row r="15">
      <c r="A15" t="inlineStr">
        <is>
          <t>Prepaid pack price per month ($)</t>
        </is>
      </c>
      <c r="B15" s="7" t="n">
        <v>200</v>
      </c>
      <c r="C15" t="inlineStr">
        <is>
          <t>About $200 per pack</t>
        </is>
      </c>
    </row>
    <row r="16">
      <c r="A16" t="inlineStr">
        <is>
          <t>Launch-month contingency</t>
        </is>
      </c>
      <c r="B16" s="8" t="n">
        <v>0.3</v>
      </c>
      <c r="C16" t="inlineStr">
        <is>
          <t>Always add 30% for launch-month curiosity traffic</t>
        </is>
      </c>
    </row>
    <row r="17">
      <c r="A17" t="inlineStr">
        <is>
          <t>Break-even credits per month (pack vs pay-as-you-go)</t>
        </is>
      </c>
      <c r="B17" s="9">
        <f>B15/B13</f>
        <v/>
      </c>
      <c r="C17" t="inlineStr">
        <is>
          <t>Below this, pay-as-you-go is cheaper</t>
        </is>
      </c>
    </row>
    <row r="19">
      <c r="A19" s="3" t="inlineStr">
        <is>
          <t>Customer population (base case)</t>
        </is>
      </c>
      <c r="B19" s="3" t="inlineStr">
        <is>
          <t>Value</t>
        </is>
      </c>
      <c r="C19" s="3" t="inlineStr">
        <is>
          <t>Note</t>
        </is>
      </c>
    </row>
    <row r="20">
      <c r="A20" t="inlineStr">
        <is>
          <t>Customers</t>
        </is>
      </c>
      <c r="B20" s="4" t="n">
        <v>300</v>
      </c>
      <c r="C20" t="inlineStr">
        <is>
          <t>Customers who might use the agent in a month</t>
        </is>
      </c>
    </row>
    <row r="21">
      <c r="A21" t="inlineStr">
        <is>
          <t>Monthly active rate</t>
        </is>
      </c>
      <c r="B21" s="8" t="n">
        <v>0.5</v>
      </c>
      <c r="C21" t="inlineStr">
        <is>
          <t>Estimated share who use the agent in a month</t>
        </is>
      </c>
    </row>
    <row r="22">
      <c r="A22" t="inlineStr">
        <is>
          <t>Sessions per active customer per month</t>
        </is>
      </c>
      <c r="B22" s="4" t="n">
        <v>2</v>
      </c>
      <c r="C22" t="inlineStr">
        <is>
          <t>Conversations each</t>
        </is>
      </c>
    </row>
    <row r="23">
      <c r="A23" t="inlineStr">
        <is>
          <t>Interactions per session</t>
        </is>
      </c>
      <c r="B23" s="4" t="n">
        <v>5</v>
      </c>
      <c r="C23" t="inlineStr">
        <is>
          <t>Average interactions per conversation</t>
        </is>
      </c>
    </row>
    <row r="24">
      <c r="A24" t="inlineStr">
        <is>
          <t>Active customers</t>
        </is>
      </c>
      <c r="B24">
        <f>B20*B21</f>
        <v/>
      </c>
      <c r="C24" t="inlineStr">
        <is>
          <t>Formula</t>
        </is>
      </c>
    </row>
    <row r="25">
      <c r="A25" t="inlineStr">
        <is>
          <t>Sessions per month</t>
        </is>
      </c>
      <c r="B25">
        <f>B24*B22</f>
        <v/>
      </c>
      <c r="C25" t="inlineStr">
        <is>
          <t>Formula</t>
        </is>
      </c>
    </row>
    <row r="27">
      <c r="A27" s="3" t="inlineStr">
        <is>
          <t>Worst-case population</t>
        </is>
      </c>
      <c r="B27" s="3" t="inlineStr">
        <is>
          <t>Value</t>
        </is>
      </c>
      <c r="C27" s="3" t="inlineStr">
        <is>
          <t>Note</t>
        </is>
      </c>
    </row>
    <row r="28">
      <c r="A28" t="inlineStr">
        <is>
          <t>Worst-case monthly active rate</t>
        </is>
      </c>
      <c r="B28" s="8" t="n">
        <v>1</v>
      </c>
      <c r="C28" t="inlineStr">
        <is>
          <t>Everyone tries it</t>
        </is>
      </c>
    </row>
    <row r="29">
      <c r="A29" t="inlineStr">
        <is>
          <t>Worst-case sessions per active customer</t>
        </is>
      </c>
      <c r="B29" s="4" t="n">
        <v>3</v>
      </c>
      <c r="C29" t="inlineStr">
        <is>
          <t>Heavy use</t>
        </is>
      </c>
    </row>
    <row r="31">
      <c r="A31" s="3" t="inlineStr">
        <is>
          <t>Design lever</t>
        </is>
      </c>
      <c r="B31" s="3" t="inlineStr">
        <is>
          <t>Value</t>
        </is>
      </c>
      <c r="C31" s="3" t="inlineStr">
        <is>
          <t>Note</t>
        </is>
      </c>
    </row>
    <row r="32">
      <c r="A32" t="inlineStr">
        <is>
          <t>Share of all sessions moved from generative to scripted (top three questions)</t>
        </is>
      </c>
      <c r="B32" s="8" t="n">
        <v>0.4</v>
      </c>
      <c r="C32" t="inlineStr">
        <is>
          <t>Assumption: the three most-asked questions are about 40% of sessions. Replace with your own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Credits per session, by answer type</t>
        </is>
      </c>
    </row>
    <row r="2">
      <c r="A2" s="2" t="inlineStr">
        <is>
          <t>Credits per session = interactions x credits per interaction + agent actions x action rate + flow steps x flow-step rate</t>
        </is>
      </c>
    </row>
    <row r="4">
      <c r="A4" s="3" t="inlineStr">
        <is>
          <t>Session type</t>
        </is>
      </c>
      <c r="B4" s="3" t="inlineStr">
        <is>
          <t>Rate type used per interaction</t>
        </is>
      </c>
      <c r="C4" s="3" t="inlineStr">
        <is>
          <t>Interactions per session</t>
        </is>
      </c>
      <c r="D4" s="3" t="inlineStr">
        <is>
          <t>Credits per interaction</t>
        </is>
      </c>
      <c r="E4" s="3" t="inlineStr">
        <is>
          <t>Agent actions per session</t>
        </is>
      </c>
      <c r="F4" s="3" t="inlineStr">
        <is>
          <t>Flow steps per session</t>
        </is>
      </c>
      <c r="G4" s="3" t="inlineStr">
        <is>
          <t>Credits per session</t>
        </is>
      </c>
    </row>
    <row r="5">
      <c r="A5" t="inlineStr">
        <is>
          <t>Scripted topic answer (returns window, postage rules)</t>
        </is>
      </c>
      <c r="B5" t="inlineStr">
        <is>
          <t>Classic answer</t>
        </is>
      </c>
      <c r="C5">
        <f>Assumptions!$B$23</f>
        <v/>
      </c>
      <c r="D5">
        <f>INDEX(Assumptions!$B$5:$B$10,MATCH(B5,Assumptions!$A$5:$A$10,0))</f>
        <v/>
      </c>
      <c r="E5" s="4" t="n">
        <v>0</v>
      </c>
      <c r="F5" s="4" t="n">
        <v>0</v>
      </c>
      <c r="G5" s="10">
        <f>C5*D5+E5*Assumptions!$B$7+F5*Assumptions!$B$10</f>
        <v/>
      </c>
    </row>
    <row r="6">
      <c r="A6" t="inlineStr">
        <is>
          <t>Generative answer grounded on the returns policy</t>
        </is>
      </c>
      <c r="B6" t="inlineStr">
        <is>
          <t>Generative answer</t>
        </is>
      </c>
      <c r="C6">
        <f>Assumptions!$B$23</f>
        <v/>
      </c>
      <c r="D6">
        <f>INDEX(Assumptions!$B$5:$B$10,MATCH(B6,Assumptions!$A$5:$A$10,0))</f>
        <v/>
      </c>
      <c r="E6" s="4" t="n">
        <v>0</v>
      </c>
      <c r="F6" s="4" t="n">
        <v>0</v>
      </c>
      <c r="G6" s="10">
        <f>C6*D6+E6*Assumptions!$B$7+F6*Assumptions!$B$10</f>
        <v/>
      </c>
    </row>
    <row r="7">
      <c r="A7" t="inlineStr">
        <is>
          <t>Session that fires a flow to log a return</t>
        </is>
      </c>
      <c r="B7" t="inlineStr">
        <is>
          <t>Generative answer</t>
        </is>
      </c>
      <c r="C7">
        <f>Assumptions!$B$23</f>
        <v/>
      </c>
      <c r="D7">
        <f>INDEX(Assumptions!$B$5:$B$10,MATCH(B7,Assumptions!$A$5:$A$10,0))</f>
        <v/>
      </c>
      <c r="E7" s="4" t="n">
        <v>1</v>
      </c>
      <c r="F7" s="4" t="n">
        <v>6</v>
      </c>
      <c r="G7" s="10">
        <f>C7*D7+E7*Assumptions!$B$7+F7*Assumptions!$B$10</f>
        <v/>
      </c>
    </row>
    <row r="8">
      <c r="A8" t="inlineStr">
        <is>
          <t>Expensive design: generative plus work content search</t>
        </is>
      </c>
      <c r="B8" t="inlineStr">
        <is>
          <t>Generative answer plus work search</t>
        </is>
      </c>
      <c r="C8">
        <f>Assumptions!$B$23</f>
        <v/>
      </c>
      <c r="D8">
        <f>INDEX(Assumptions!$B$5:$B$10,MATCH(B8,Assumptions!$A$5:$A$10,0))</f>
        <v/>
      </c>
      <c r="E8" s="4" t="n">
        <v>0</v>
      </c>
      <c r="F8" s="4" t="n">
        <v>0</v>
      </c>
      <c r="G8" s="10">
        <f>C8*D8+E8*Assumptions!$B$7+F8*Assumptions!$B$10</f>
        <v/>
      </c>
    </row>
    <row r="10">
      <c r="A10" s="11" t="inlineStr">
        <is>
          <t>Rate type must match a name in the rate table on the Assumptions sheet. Flow steps are an estimate: a return-logging flow with about 6 steps.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Monthly Copilot Credit forecast: four scenarios</t>
        </is>
      </c>
    </row>
    <row r="2">
      <c r="A2" s="2" t="inlineStr">
        <is>
          <t>Lean = mix from the lecture (60% generative, 25% scripted, 15% flow sessions). Lever = top three questions moved to scripted topics. Expensive = everything generative plus work search. Worst case = expensive design at peak volume.</t>
        </is>
      </c>
    </row>
    <row r="4">
      <c r="A4" s="3" t="inlineStr">
        <is>
          <t>Line</t>
        </is>
      </c>
      <c r="B4" s="3" t="inlineStr">
        <is>
          <t>Lean (lecture mix)</t>
        </is>
      </c>
      <c r="C4" s="3" t="inlineStr">
        <is>
          <t>Lever (top 3 to scripted)</t>
        </is>
      </c>
      <c r="D4" s="3" t="inlineStr">
        <is>
          <t>Expensive design</t>
        </is>
      </c>
      <c r="E4" s="3" t="inlineStr">
        <is>
          <t>Worst case</t>
        </is>
      </c>
    </row>
    <row r="5">
      <c r="A5" t="inlineStr">
        <is>
          <t>Customers</t>
        </is>
      </c>
      <c r="B5">
        <f>Assumptions!B20</f>
        <v/>
      </c>
      <c r="C5">
        <f>Assumptions!B20</f>
        <v/>
      </c>
      <c r="D5">
        <f>Assumptions!B20</f>
        <v/>
      </c>
      <c r="E5">
        <f>Assumptions!B20</f>
        <v/>
      </c>
    </row>
    <row r="6">
      <c r="A6" t="inlineStr">
        <is>
          <t>Monthly active rate</t>
        </is>
      </c>
      <c r="B6" s="12">
        <f>Assumptions!B21</f>
        <v/>
      </c>
      <c r="C6" s="12">
        <f>Assumptions!B21</f>
        <v/>
      </c>
      <c r="D6" s="12">
        <f>Assumptions!B21</f>
        <v/>
      </c>
      <c r="E6" s="12">
        <f>Assumptions!B28</f>
        <v/>
      </c>
    </row>
    <row r="7">
      <c r="A7" t="inlineStr">
        <is>
          <t>Sessions per active customer</t>
        </is>
      </c>
      <c r="B7">
        <f>Assumptions!B22</f>
        <v/>
      </c>
      <c r="C7">
        <f>Assumptions!B22</f>
        <v/>
      </c>
      <c r="D7">
        <f>Assumptions!B22</f>
        <v/>
      </c>
      <c r="E7">
        <f>Assumptions!B29</f>
        <v/>
      </c>
    </row>
    <row r="8">
      <c r="A8" t="inlineStr">
        <is>
          <t>Sessions per month</t>
        </is>
      </c>
      <c r="B8" s="9">
        <f>B5*B6*B7</f>
        <v/>
      </c>
      <c r="C8" s="9">
        <f>C5*C6*C7</f>
        <v/>
      </c>
      <c r="D8" s="9">
        <f>D5*D6*D7</f>
        <v/>
      </c>
      <c r="E8" s="9">
        <f>E5*E6*E7</f>
        <v/>
      </c>
    </row>
    <row r="9">
      <c r="A9" t="inlineStr">
        <is>
          <t>Mix: scripted topic sessions</t>
        </is>
      </c>
      <c r="B9" s="8" t="n">
        <v>0.25</v>
      </c>
      <c r="C9" s="12">
        <f>B9+Assumptions!B32</f>
        <v/>
      </c>
      <c r="D9" s="8" t="n">
        <v>0</v>
      </c>
      <c r="E9" s="8" t="n">
        <v>0</v>
      </c>
    </row>
    <row r="10">
      <c r="A10" t="inlineStr">
        <is>
          <t>Mix: generative sessions</t>
        </is>
      </c>
      <c r="B10" s="8" t="n">
        <v>0.6</v>
      </c>
      <c r="C10" s="12">
        <f>B10-Assumptions!B32</f>
        <v/>
      </c>
      <c r="D10" s="8" t="n">
        <v>0</v>
      </c>
      <c r="E10" s="8" t="n">
        <v>0</v>
      </c>
    </row>
    <row r="11">
      <c r="A11" t="inlineStr">
        <is>
          <t>Mix: sessions that log a return via a flow</t>
        </is>
      </c>
      <c r="B11" s="8" t="n">
        <v>0.15</v>
      </c>
      <c r="C11" s="12">
        <f>B11</f>
        <v/>
      </c>
      <c r="D11" s="8" t="n">
        <v>0</v>
      </c>
      <c r="E11" s="8" t="n">
        <v>0</v>
      </c>
    </row>
    <row r="12">
      <c r="A12" t="inlineStr">
        <is>
          <t>Mix: generative plus work search sessions</t>
        </is>
      </c>
      <c r="B12" s="8" t="n">
        <v>0</v>
      </c>
      <c r="C12" s="8" t="n">
        <v>0</v>
      </c>
      <c r="D12" s="8" t="n">
        <v>1</v>
      </c>
      <c r="E12" s="8" t="n">
        <v>1</v>
      </c>
    </row>
    <row r="13">
      <c r="A13" t="inlineStr">
        <is>
          <t>Mix check (must be 100%)</t>
        </is>
      </c>
      <c r="B13" s="12">
        <f>SUM(B9:B12)</f>
        <v/>
      </c>
      <c r="C13" s="12">
        <f>SUM(C9:C12)</f>
        <v/>
      </c>
      <c r="D13" s="12">
        <f>SUM(D9:D12)</f>
        <v/>
      </c>
      <c r="E13" s="12">
        <f>SUM(E9:E12)</f>
        <v/>
      </c>
    </row>
    <row r="14">
      <c r="A14" t="inlineStr">
        <is>
          <t>Credits: scripted</t>
        </is>
      </c>
      <c r="B14" s="9">
        <f>B8*B9*'Session Cost'!$G$5</f>
        <v/>
      </c>
      <c r="C14" s="9">
        <f>C8*C9*'Session Cost'!$G$5</f>
        <v/>
      </c>
      <c r="D14" s="9">
        <f>D8*D9*'Session Cost'!$G$5</f>
        <v/>
      </c>
      <c r="E14" s="9">
        <f>E8*E9*'Session Cost'!$G$5</f>
        <v/>
      </c>
    </row>
    <row r="15">
      <c r="A15" t="inlineStr">
        <is>
          <t>Credits: generative</t>
        </is>
      </c>
      <c r="B15" s="9">
        <f>B8*B10*'Session Cost'!$G$6</f>
        <v/>
      </c>
      <c r="C15" s="9">
        <f>C8*C10*'Session Cost'!$G$6</f>
        <v/>
      </c>
      <c r="D15" s="9">
        <f>D8*D10*'Session Cost'!$G$6</f>
        <v/>
      </c>
      <c r="E15" s="9">
        <f>E8*E10*'Session Cost'!$G$6</f>
        <v/>
      </c>
    </row>
    <row r="16">
      <c r="A16" t="inlineStr">
        <is>
          <t>Credits: flow-logged returns</t>
        </is>
      </c>
      <c r="B16" s="9">
        <f>B8*B11*'Session Cost'!$G$7</f>
        <v/>
      </c>
      <c r="C16" s="9">
        <f>C8*C11*'Session Cost'!$G$7</f>
        <v/>
      </c>
      <c r="D16" s="9">
        <f>D8*D11*'Session Cost'!$G$7</f>
        <v/>
      </c>
      <c r="E16" s="9">
        <f>E8*E11*'Session Cost'!$G$7</f>
        <v/>
      </c>
    </row>
    <row r="17">
      <c r="A17" t="inlineStr">
        <is>
          <t>Credits: generative plus work search</t>
        </is>
      </c>
      <c r="B17" s="9">
        <f>B8*B12*'Session Cost'!$G$8</f>
        <v/>
      </c>
      <c r="C17" s="9">
        <f>C8*C12*'Session Cost'!$G$8</f>
        <v/>
      </c>
      <c r="D17" s="9">
        <f>D8*D12*'Session Cost'!$G$8</f>
        <v/>
      </c>
      <c r="E17" s="9">
        <f>E8*E12*'Session Cost'!$G$8</f>
        <v/>
      </c>
    </row>
    <row r="18">
      <c r="A18" s="13" t="inlineStr">
        <is>
          <t>Base credits per month</t>
        </is>
      </c>
      <c r="B18" s="14">
        <f>SUM(B14:B17)</f>
        <v/>
      </c>
      <c r="C18" s="14">
        <f>SUM(C14:C17)</f>
        <v/>
      </c>
      <c r="D18" s="14">
        <f>SUM(D14:D17)</f>
        <v/>
      </c>
      <c r="E18" s="14">
        <f>SUM(E14:E17)</f>
        <v/>
      </c>
    </row>
    <row r="19">
      <c r="A19" t="inlineStr">
        <is>
          <t>Launch-month contingency</t>
        </is>
      </c>
      <c r="B19" s="12">
        <f>Assumptions!$B$16</f>
        <v/>
      </c>
      <c r="C19" s="12">
        <f>Assumptions!$B$16</f>
        <v/>
      </c>
      <c r="D19" s="12">
        <f>Assumptions!$B$16</f>
        <v/>
      </c>
      <c r="E19" s="12">
        <f>Assumptions!$B$16</f>
        <v/>
      </c>
    </row>
    <row r="20">
      <c r="A20" s="13" t="inlineStr">
        <is>
          <t>Planning credits per month (with contingency)</t>
        </is>
      </c>
      <c r="B20" s="14">
        <f>B18*(1+B19)</f>
        <v/>
      </c>
      <c r="C20" s="14">
        <f>C18*(1+C19)</f>
        <v/>
      </c>
      <c r="D20" s="14">
        <f>D18*(1+D19)</f>
        <v/>
      </c>
      <c r="E20" s="14">
        <f>E18*(1+E19)</f>
        <v/>
      </c>
    </row>
    <row r="21">
      <c r="A21" s="13" t="inlineStr">
        <is>
          <t>Pay-as-you-go cost per month ($)</t>
        </is>
      </c>
      <c r="B21" s="15">
        <f>B20*Assumptions!$B$13</f>
        <v/>
      </c>
      <c r="C21" s="15">
        <f>C20*Assumptions!$B$13</f>
        <v/>
      </c>
      <c r="D21" s="15">
        <f>D20*Assumptions!$B$13</f>
        <v/>
      </c>
      <c r="E21" s="15">
        <f>E20*Assumptions!$B$13</f>
        <v/>
      </c>
    </row>
    <row r="22">
      <c r="A22" t="inlineStr">
        <is>
          <t>Prepaid packs needed</t>
        </is>
      </c>
      <c r="B22">
        <f>ROUNDUP(B20/Assumptions!$B$14,0)</f>
        <v/>
      </c>
      <c r="C22">
        <f>ROUNDUP(C20/Assumptions!$B$14,0)</f>
        <v/>
      </c>
      <c r="D22">
        <f>ROUNDUP(D20/Assumptions!$B$14,0)</f>
        <v/>
      </c>
      <c r="E22">
        <f>ROUNDUP(E20/Assumptions!$B$14,0)</f>
        <v/>
      </c>
    </row>
    <row r="23">
      <c r="A23" t="inlineStr">
        <is>
          <t>Prepaid cost per month ($)</t>
        </is>
      </c>
      <c r="B23" s="16">
        <f>B22*Assumptions!$B$15</f>
        <v/>
      </c>
      <c r="C23" s="16">
        <f>C22*Assumptions!$B$15</f>
        <v/>
      </c>
      <c r="D23" s="16">
        <f>D22*Assumptions!$B$15</f>
        <v/>
      </c>
      <c r="E23" s="16">
        <f>E22*Assumptions!$B$15</f>
        <v/>
      </c>
    </row>
    <row r="24">
      <c r="A24" t="inlineStr">
        <is>
          <t>Cheaper option</t>
        </is>
      </c>
      <c r="B24">
        <f>IF(B21&lt;B23,"Pay-as-you-go","Prepaid pack")</f>
        <v/>
      </c>
      <c r="C24">
        <f>IF(C21&lt;C23,"Pay-as-you-go","Prepaid pack")</f>
        <v/>
      </c>
      <c r="D24">
        <f>IF(D21&lt;D23,"Pay-as-you-go","Prepaid pack")</f>
        <v/>
      </c>
      <c r="E24">
        <f>IF(E21&lt;E23,"Pay-as-you-go","Prepaid pack")</f>
        <v/>
      </c>
    </row>
    <row r="25">
      <c r="A25" t="inlineStr">
        <is>
          <t>Share of one 25,000-credit pack used</t>
        </is>
      </c>
      <c r="B25" s="17">
        <f>B20/Assumptions!$B$14</f>
        <v/>
      </c>
      <c r="C25" s="17">
        <f>C20/Assumptions!$B$14</f>
        <v/>
      </c>
      <c r="D25" s="17">
        <f>D20/Assumptions!$B$14</f>
        <v/>
      </c>
      <c r="E25" s="17">
        <f>E20/Assumptions!$B$14</f>
        <v/>
      </c>
    </row>
    <row r="26">
      <c r="A26" t="inlineStr">
        <is>
          <t>Change in planning credits versus Lean (negative = saving)</t>
        </is>
      </c>
      <c r="B26" s="9">
        <f>0</f>
        <v/>
      </c>
      <c r="C26" s="9">
        <f>C20-$B$20</f>
        <v/>
      </c>
      <c r="D26" s="9">
        <f>D20-$B$20</f>
        <v/>
      </c>
      <c r="E26" s="9">
        <f>E20-$B$20</f>
        <v/>
      </c>
    </row>
    <row r="27">
      <c r="A27" t="inlineStr">
        <is>
          <t>Planning credits as a multiple of Lean</t>
        </is>
      </c>
      <c r="B27" s="18">
        <f>B20/$B$20</f>
        <v/>
      </c>
      <c r="C27" s="18">
        <f>C20/$B$20</f>
        <v/>
      </c>
      <c r="D27" s="18">
        <f>D20/$B$20</f>
        <v/>
      </c>
      <c r="E27" s="18">
        <f>E20/$B$20</f>
        <v/>
      </c>
    </row>
    <row r="28">
      <c r="A28" t="inlineStr">
        <is>
          <t>Change versus Lean (%)</t>
        </is>
      </c>
      <c r="B28" s="12">
        <f>0</f>
        <v/>
      </c>
      <c r="C28" s="12">
        <f>(C20-$B$20)/$B$20</f>
        <v/>
      </c>
      <c r="D28" s="12">
        <f>(D20-$B$20)/$B$20</f>
        <v/>
      </c>
      <c r="E28" s="12">
        <f>(E20-$B$20)/$B$20</f>
        <v/>
      </c>
    </row>
    <row r="30">
      <c r="A30" s="13" t="inlineStr">
        <is>
          <t>How to read this</t>
        </is>
      </c>
    </row>
    <row r="31">
      <c r="A31" t="inlineStr">
        <is>
          <t>- Lean: 300 customers x 50% active x 2 sessions = 300 sessions a month, split 60% generative / 25% scripted / 15% flow sessions, plus a 30% launch-month contingency.</t>
        </is>
      </c>
    </row>
    <row r="32">
      <c r="A32" t="inlineStr">
        <is>
          <t>- Lever: moving the three most-asked questions from generative answers to scripted topics with fixed responses lowers the forecast. Change the share on the Assumptions sheet to your own figure.</t>
        </is>
      </c>
    </row>
    <row r="33">
      <c r="A33" t="inlineStr">
        <is>
          <t>- Pay-as-you-go versus prepaid: a 25,000-credit pack at about $200 only wins above the break-even shown on the Assumptions sheet (20,000 credits a month at $0.01 per credit).</t>
        </is>
      </c>
    </row>
    <row r="34">
      <c r="A34" t="inlineStr">
        <is>
          <t>- Testing a Standard agent is free; this forecast covers published use only. Customers outside the organization use credits.</t>
        </is>
      </c>
    </row>
    <row r="35">
      <c r="A35" t="inlineStr">
        <is>
          <t>- Worst case is a ceiling for the cost statement to Morgan Reyes. Controls: billing alert at 80% in Azure Cost Management (it emails, it does not stop spending), restricted publishing rights in Production, monthly review owned by Jamie Jordan.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One-paragraph cost statement for Morgan Reyes (auto-filled from the Forecast sheet)</t>
        </is>
      </c>
    </row>
    <row r="3" ht="110" customHeight="1">
      <c r="A3" s="19">
        <f>"Expected: about "&amp;TEXT(Forecast!B18,"#,##0")&amp;" Copilot Credits a month ("&amp;TEXT(Forecast!B20,"#,##0")&amp;" with the "&amp;TEXT(Forecast!B19,"0%")&amp;" launch contingency), roughly $"&amp;TEXT(Forecast!B21,"#,##0.00")&amp;" a month on pay-as-you-go. Assumptions: "&amp;TEXT(Forecast!B5,"0")&amp;" customers, "&amp;TEXT(Forecast!B6,"0%")&amp;" active, "&amp;TEXT(Forecast!B7,"0")&amp;" sessions each, mix 60/25/15. Worst case: "&amp;TEXT(Forecast!E20,"#,##0")&amp;" credits (about $"&amp;TEXT(MIN(Forecast!E21,Forecast!E23),"#,##0")&amp;" a month on the cheaper plan). Controls: Azure budget alert at 80%, restricted publishing in Production, monthly consumption review owned by Jamie Jordan."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2026-10-15T16:30:38Z</dcterms:created>
  <dcterms:modified xmlns:dcterms="http://purl.org/dc/terms/" xmlns:xsi="http://www.w3.org/2001/XMLSchema-instance" xsi:type="dcterms:W3CDTF">2026-10-15T16:30:38Z</dcterms:modified>
</cp:coreProperties>
</file>