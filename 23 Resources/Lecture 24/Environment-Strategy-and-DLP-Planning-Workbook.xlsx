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-Tier Environments" sheetId="1" state="visible" r:id="rId1"/>
    <sheet xmlns:r="http://schemas.openxmlformats.org/officeDocument/2006/relationships" name="Environment Setup Steps" sheetId="2" state="visible" r:id="rId2"/>
    <sheet xmlns:r="http://schemas.openxmlformats.org/officeDocument/2006/relationships" name="Connector Classification" sheetId="3" state="visible" r:id="rId3"/>
    <sheet xmlns:r="http://schemas.openxmlformats.org/officeDocument/2006/relationships" name="DLP Mix Check" sheetId="4" state="visible" r:id="rId4"/>
    <sheet xmlns:r="http://schemas.openxmlformats.org/officeDocument/2006/relationships" name="Agent Ownership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32" customWidth="1" min="4" max="4"/>
    <col width="38" customWidth="1" min="5" max="5"/>
    <col width="44" customWidth="1" min="6" max="6"/>
    <col width="22" customWidth="1" min="7" max="7"/>
    <col width="40" customWidth="1" min="8" max="8"/>
    <col width="12" customWidth="1" min="9" max="9"/>
    <col width="28" customWidth="1" min="10" max="10"/>
    <col width="16" customWidth="1" min="11" max="11"/>
    <col width="44" customWidth="1" min="12" max="12"/>
  </cols>
  <sheetData>
    <row r="1">
      <c r="A1" s="1" t="inlineStr">
        <is>
          <t>Tier</t>
        </is>
      </c>
      <c r="B1" s="1" t="inlineStr">
        <is>
          <t>Environment name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Who has access</t>
        </is>
      </c>
      <c r="F1" s="1" t="inlineStr">
        <is>
          <t>Typical settings (DLP, data)</t>
        </is>
      </c>
      <c r="G1" s="1" t="inlineStr">
        <is>
          <t>Data</t>
        </is>
      </c>
      <c r="H1" s="1" t="inlineStr">
        <is>
          <t>Managed Environment</t>
        </is>
      </c>
      <c r="I1" s="1" t="inlineStr">
        <is>
          <t>Dataverse data store</t>
        </is>
      </c>
      <c r="J1" s="1" t="inlineStr">
        <is>
          <t>Region</t>
        </is>
      </c>
      <c r="K1" s="1" t="inlineStr">
        <is>
          <t>Environment owner</t>
        </is>
      </c>
      <c r="L1" s="1" t="inlineStr">
        <is>
          <t>Notes</t>
        </is>
      </c>
    </row>
    <row r="2">
      <c r="A2" s="2" t="inlineStr">
        <is>
          <t>Development</t>
        </is>
      </c>
      <c r="B2" s="2" t="inlineStr">
        <is>
          <t>PashunSports-CustomerService-DEV</t>
        </is>
      </c>
      <c r="C2" s="2" t="inlineStr">
        <is>
          <t>Sandbox</t>
        </is>
      </c>
      <c r="D2" s="2" t="inlineStr">
        <is>
          <t>Build and experiment freely</t>
        </is>
      </c>
      <c r="E2" s="2" t="inlineStr">
        <is>
          <t>Makers only (Paul + 2 Pashun Sports makers)</t>
        </is>
      </c>
      <c r="F2" s="2" t="inlineStr">
        <is>
          <t>Loose DLP, test data only, no production connectors</t>
        </is>
      </c>
      <c r="G2" s="2" t="inlineStr">
        <is>
          <t>Test data only</t>
        </is>
      </c>
      <c r="H2" s="2" t="inlineStr">
        <is>
          <t>Optional</t>
        </is>
      </c>
      <c r="I2" s="2" t="inlineStr">
        <is>
          <t>Yes</t>
        </is>
      </c>
      <c r="J2" s="2" t="inlineStr">
        <is>
          <t>Region required by Pashun Sports data rules</t>
        </is>
      </c>
      <c r="K2" s="2" t="inlineStr">
        <is>
          <t>Paul Ashun</t>
        </is>
      </c>
      <c r="L2" s="2" t="inlineStr">
        <is>
          <t>Shows testing cost separately from live usage</t>
        </is>
      </c>
    </row>
    <row r="3">
      <c r="A3" s="2" t="inlineStr">
        <is>
          <t>Test / UAT</t>
        </is>
      </c>
      <c r="B3" s="2" t="inlineStr">
        <is>
          <t>PashunSports-CustomerService-UAT</t>
        </is>
      </c>
      <c r="C3" s="2" t="inlineStr">
        <is>
          <t>Sandbox</t>
        </is>
      </c>
      <c r="D3" s="2" t="inlineStr">
        <is>
          <t>Validate with real users before release</t>
        </is>
      </c>
      <c r="E3" s="2" t="inlineStr">
        <is>
          <t>Makers + nominated business testers (Jamie, Morgan)</t>
        </is>
      </c>
      <c r="F3" s="2" t="inlineStr">
        <is>
          <t>Production-like DLP (policy Pashun Sports — Core Business Data)</t>
        </is>
      </c>
      <c r="G3" s="2" t="inlineStr">
        <is>
          <t>Anonymized or sample data</t>
        </is>
      </c>
      <c r="H3" s="2" t="inlineStr">
        <is>
          <t>Optional</t>
        </is>
      </c>
      <c r="I3" s="2" t="inlineStr">
        <is>
          <t>Yes</t>
        </is>
      </c>
      <c r="J3" s="2" t="inlineStr">
        <is>
          <t>Same region as PROD</t>
        </is>
      </c>
      <c r="K3" s="2" t="inlineStr">
        <is>
          <t>Jamie Jordan</t>
        </is>
      </c>
      <c r="L3" s="2" t="inlineStr">
        <is>
          <t>PolicySiteUrl points to the test SharePoint site</t>
        </is>
      </c>
    </row>
    <row r="4">
      <c r="A4" s="2" t="inlineStr">
        <is>
          <t>Production</t>
        </is>
      </c>
      <c r="B4" s="2" t="inlineStr">
        <is>
          <t>PashunSports-CustomerService-PROD</t>
        </is>
      </c>
      <c r="C4" s="2" t="inlineStr">
        <is>
          <t>Production</t>
        </is>
      </c>
      <c r="D4" s="2" t="inlineStr">
        <is>
          <t>Live agent used by colleagues and customers</t>
        </is>
      </c>
      <c r="E4" s="2" t="inlineStr">
        <is>
          <t>Admins publish; colleagues and customers use it only</t>
        </is>
      </c>
      <c r="F4" s="2" t="inlineStr">
        <is>
          <t>Strict DLP (policy Pashun Sports — Core Business Data), change control</t>
        </is>
      </c>
      <c r="G4" s="2" t="inlineStr">
        <is>
          <t>Live data</t>
        </is>
      </c>
      <c r="H4" s="2" t="inlineStr">
        <is>
          <t>Yes: sharing limit max 20 individual makers, share with security groups only</t>
        </is>
      </c>
      <c r="I4" s="2" t="inlineStr">
        <is>
          <t>Yes</t>
        </is>
      </c>
      <c r="J4" s="2" t="inlineStr">
        <is>
          <t>Same region as PROD data</t>
        </is>
      </c>
      <c r="K4" s="2" t="inlineStr">
        <is>
          <t>Paul Ashun</t>
        </is>
      </c>
      <c r="L4" s="2" t="inlineStr">
        <is>
          <t>Restrict publishing rights; two platform leads hold Environment Maker</t>
        </is>
      </c>
    </row>
    <row r="6">
      <c r="A6" s="3" t="inlineStr">
        <is>
          <t>Rules</t>
        </is>
      </c>
    </row>
    <row r="7">
      <c r="A7" t="inlineStr">
        <is>
          <t>Naming convention: [Company]-[AgentName]-DEV / -UAT / -PROD (PashunSports-CustomerService-DEV, -UAT, -PROD).</t>
        </is>
      </c>
    </row>
    <row r="8">
      <c r="A8" t="inlineStr">
        <is>
          <t>Move agents between tiers in a solution (managed export/import or Power Platform Pipelines). Never rebuild by hand.</t>
        </is>
      </c>
    </row>
    <row r="9">
      <c r="A9" t="inlineStr">
        <is>
          <t>Retirement rule: any agent with zero conversations for 60 days is reviewed and either re-promoted or retired.</t>
        </is>
      </c>
    </row>
    <row r="10">
      <c r="A10" t="inlineStr">
        <is>
          <t>Restrict maker access in the Default environment.</t>
        </is>
      </c>
    </row>
    <row r="11">
      <c r="A11" t="inlineStr">
        <is>
          <t>Copilot Credits are consumed per environment: keep DEV and PROD separate so testing and live usage can be seen and capped separately.</t>
        </is>
      </c>
    </row>
    <row r="13">
      <c r="A13" s="3" t="inlineStr">
        <is>
          <t>Your plan (blank)</t>
        </is>
      </c>
    </row>
    <row r="14">
      <c r="A14" s="4" t="inlineStr">
        <is>
          <t>Tier</t>
        </is>
      </c>
      <c r="B14" s="4" t="inlineStr">
        <is>
          <t>Environment name</t>
        </is>
      </c>
      <c r="C14" s="4" t="inlineStr">
        <is>
          <t>Type</t>
        </is>
      </c>
      <c r="D14" s="4" t="inlineStr">
        <is>
          <t>Purpose</t>
        </is>
      </c>
      <c r="E14" s="4" t="inlineStr">
        <is>
          <t>Who has access</t>
        </is>
      </c>
      <c r="F14" s="4" t="inlineStr">
        <is>
          <t>Typical settings</t>
        </is>
      </c>
      <c r="G14" s="4" t="inlineStr">
        <is>
          <t>Data</t>
        </is>
      </c>
      <c r="H14" s="4" t="inlineStr">
        <is>
          <t>Managed Environment</t>
        </is>
      </c>
      <c r="I14" s="4" t="inlineStr">
        <is>
          <t>Dataverse</t>
        </is>
      </c>
      <c r="J14" s="4" t="inlineStr">
        <is>
          <t>Region</t>
        </is>
      </c>
      <c r="K14" s="4" t="inlineStr">
        <is>
          <t>Owner</t>
        </is>
      </c>
      <c r="L14" s="4" t="inlineStr">
        <is>
          <t>Notes</t>
        </is>
      </c>
    </row>
    <row r="15">
      <c r="A15" t="inlineStr">
        <is>
          <t>Development</t>
        </is>
      </c>
    </row>
    <row r="16">
      <c r="A16" t="inlineStr">
        <is>
          <t>Test / UAT</t>
        </is>
      </c>
    </row>
    <row r="17">
      <c r="A17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90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  <c r="D1" s="1" t="inlineStr">
        <is>
          <t>Applies to</t>
        </is>
      </c>
      <c r="E1" s="1" t="inlineStr">
        <is>
          <t>Done (Yes / No)</t>
        </is>
      </c>
      <c r="F1" s="1" t="inlineStr">
        <is>
          <t>Date</t>
        </is>
      </c>
    </row>
    <row r="2">
      <c r="A2" t="n">
        <v>1</v>
      </c>
      <c r="B2" s="2" t="inlineStr">
        <is>
          <t>Open the environments list</t>
        </is>
      </c>
      <c r="C2" s="2" t="inlineStr">
        <is>
          <t>In the left menu select Manage, then Environments.</t>
        </is>
      </c>
      <c r="D2" t="inlineStr">
        <is>
          <t>Both UAT and PROD</t>
        </is>
      </c>
      <c r="E2" t="inlineStr"/>
      <c r="F2" t="inlineStr"/>
    </row>
    <row r="3">
      <c r="A3" t="n">
        <v>2</v>
      </c>
      <c r="B3" s="2" t="inlineStr">
        <is>
          <t>Start a new environment</t>
        </is>
      </c>
      <c r="C3" s="2" t="inlineStr">
        <is>
          <t>Select + New.</t>
        </is>
      </c>
      <c r="D3" t="inlineStr">
        <is>
          <t>Both</t>
        </is>
      </c>
      <c r="E3" t="inlineStr"/>
      <c r="F3" t="inlineStr"/>
    </row>
    <row r="4">
      <c r="A4" t="n">
        <v>3</v>
      </c>
      <c r="B4" s="2" t="inlineStr">
        <is>
          <t>Name it</t>
        </is>
      </c>
      <c r="C4" s="2" t="inlineStr">
        <is>
          <t>For example PashunSports-CustomerService-UAT.</t>
        </is>
      </c>
      <c r="D4" t="inlineStr">
        <is>
          <t>Both</t>
        </is>
      </c>
      <c r="E4" t="inlineStr"/>
      <c r="F4" t="inlineStr"/>
    </row>
    <row r="5">
      <c r="A5" t="n">
        <v>4</v>
      </c>
      <c r="B5" s="2" t="inlineStr">
        <is>
          <t>Choose the type</t>
        </is>
      </c>
      <c r="C5" s="2" t="inlineStr">
        <is>
          <t>Sandbox for UAT, Production for PROD.</t>
        </is>
      </c>
      <c r="D5" t="inlineStr">
        <is>
          <t>Both</t>
        </is>
      </c>
      <c r="E5" t="inlineStr"/>
      <c r="F5" t="inlineStr"/>
    </row>
    <row r="6">
      <c r="A6" t="n">
        <v>5</v>
      </c>
      <c r="B6" s="2" t="inlineStr">
        <is>
          <t>Choose the region</t>
        </is>
      </c>
      <c r="C6" s="2" t="inlineStr">
        <is>
          <t>The one your organization's data rules require.</t>
        </is>
      </c>
      <c r="D6" t="inlineStr">
        <is>
          <t>Both</t>
        </is>
      </c>
      <c r="E6" t="inlineStr"/>
      <c r="F6" t="inlineStr"/>
    </row>
    <row r="7">
      <c r="A7" t="n">
        <v>6</v>
      </c>
      <c r="B7" s="2" t="inlineStr">
        <is>
          <t>Add a Dataverse data store</t>
        </is>
      </c>
      <c r="C7" s="2" t="inlineStr">
        <is>
          <t>Switch it on.</t>
        </is>
      </c>
      <c r="D7" t="inlineStr">
        <is>
          <t>Both</t>
        </is>
      </c>
      <c r="E7" t="inlineStr"/>
      <c r="F7" t="inlineStr"/>
    </row>
    <row r="8">
      <c r="A8" t="n">
        <v>7</v>
      </c>
      <c r="B8" s="2" t="inlineStr">
        <is>
          <t>Save</t>
        </is>
      </c>
      <c r="C8" s="2" t="inlineStr">
        <is>
          <t>Wait until the environment changes from Preparing to Ready.</t>
        </is>
      </c>
      <c r="D8" t="inlineStr">
        <is>
          <t>Both</t>
        </is>
      </c>
      <c r="E8" t="inlineStr"/>
      <c r="F8" t="inlineStr"/>
    </row>
    <row r="9">
      <c r="A9" t="n">
        <v>8</v>
      </c>
      <c r="B9" s="2" t="inlineStr">
        <is>
          <t>Enable Managed Environments on PROD</t>
        </is>
      </c>
      <c r="C9" s="2" t="inlineStr">
        <is>
          <t>Set the sharing limit to a maximum of 20 individual makers and turn on "share with security groups only".</t>
        </is>
      </c>
      <c r="D9" t="inlineStr">
        <is>
          <t>PROD</t>
        </is>
      </c>
      <c r="E9" t="inlineStr"/>
      <c r="F9" t="inlineStr"/>
    </row>
    <row r="10">
      <c r="A10" t="n">
        <v>9</v>
      </c>
      <c r="B10" s="2" t="inlineStr">
        <is>
          <t>Create the DLP policy</t>
        </is>
      </c>
      <c r="C10" s="2" t="inlineStr">
        <is>
          <t>Name: Pashun Sports — Core Business Data. Place SharePoint, Outlook, Teams and Approvals in Business; move consumer storage and social apps to Blocked; scope to the UAT and PROD environments.</t>
        </is>
      </c>
      <c r="D10" t="inlineStr">
        <is>
          <t>UAT and PROD</t>
        </is>
      </c>
      <c r="E10" t="inlineStr"/>
      <c r="F10" t="inlineStr"/>
    </row>
    <row r="11">
      <c r="A11" t="n">
        <v>10</v>
      </c>
      <c r="B11" s="2" t="inlineStr">
        <is>
          <t>Add the agent to a solution</t>
        </is>
      </c>
      <c r="C11" s="2" t="inlineStr">
        <is>
          <t>Solution: Pashun Sports Customer Service. Convert the hard-coded SharePoint policy site URL into the environment variable PolicySiteUrl.</t>
        </is>
      </c>
      <c r="D11" t="inlineStr">
        <is>
          <t>DEV</t>
        </is>
      </c>
      <c r="E11" t="inlineStr"/>
      <c r="F11" t="inlineStr"/>
    </row>
    <row r="12">
      <c r="A12" t="n">
        <v>11</v>
      </c>
      <c r="B12" s="2" t="inlineStr">
        <is>
          <t>Export managed, import into UAT</t>
        </is>
      </c>
      <c r="C12" s="2" t="inlineStr">
        <is>
          <t>Supply the UAT value for PolicySiteUrl during import.</t>
        </is>
      </c>
      <c r="D12" t="inlineStr">
        <is>
          <t>DEV to UAT</t>
        </is>
      </c>
      <c r="E12" t="inlineStr"/>
      <c r="F12" t="inlineStr"/>
    </row>
    <row r="13">
      <c r="A13" t="n">
        <v>12</v>
      </c>
      <c r="B13" s="2" t="inlineStr">
        <is>
          <t>Test the DLP policy</t>
        </is>
      </c>
      <c r="C13" s="2" t="inlineStr">
        <is>
          <t>Attempt to add a blocked connector in UAT and read the error message.</t>
        </is>
      </c>
      <c r="D13" t="inlineStr">
        <is>
          <t>UAT</t>
        </is>
      </c>
      <c r="E13" t="inlineStr"/>
      <c r="F13" t="inlineStr"/>
    </row>
    <row r="14">
      <c r="A14" t="n">
        <v>13</v>
      </c>
      <c r="B14" s="2" t="inlineStr">
        <is>
          <t>Review usage and the weekly digest</t>
        </is>
      </c>
      <c r="C14" s="2" t="inlineStr">
        <is>
          <t>Admin Center: agent usage and capacity per environment; Managed Environment weekly digest.</t>
        </is>
      </c>
      <c r="D14" t="inlineStr">
        <is>
          <t>PROD</t>
        </is>
      </c>
      <c r="E14" t="inlineStr"/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 ht="48" customHeight="1">
      <c r="A1" s="1" t="inlineStr">
        <is>
          <t>Connector</t>
        </is>
      </c>
      <c r="B1" s="1" t="inlineStr">
        <is>
          <t>Group in lecture text (Part 1)</t>
        </is>
      </c>
      <c r="C1" s="1" t="inlineStr">
        <is>
          <t>Group in policy "Pashun Sports — Core Business Data" (demo)</t>
        </is>
      </c>
      <c r="D1" s="1" t="inlineStr">
        <is>
          <t>Customer Service Agent</t>
        </is>
      </c>
      <c r="E1" s="1" t="inlineStr">
        <is>
          <t>Supplier Follow Up</t>
        </is>
      </c>
      <c r="F1" s="1" t="inlineStr">
        <is>
          <t>Sales Reporter</t>
        </is>
      </c>
      <c r="G1" s="1" t="inlineStr">
        <is>
          <t>Project Support Helper</t>
        </is>
      </c>
      <c r="H1" s="1" t="inlineStr">
        <is>
          <t>Operations Agent</t>
        </is>
      </c>
      <c r="I1" s="1" t="inlineStr">
        <is>
          <t>Inbox Sort and Respond</t>
        </is>
      </c>
      <c r="J1" s="1" t="inlineStr">
        <is>
          <t>Why</t>
        </is>
      </c>
    </row>
    <row r="2">
      <c r="A2" t="inlineStr">
        <is>
          <t>SharePoint</t>
        </is>
      </c>
      <c r="B2" t="inlineStr">
        <is>
          <t>Business</t>
        </is>
      </c>
      <c r="C2" t="inlineStr">
        <is>
          <t>Business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s="2" t="inlineStr">
        <is>
          <t>Policy library, Returns Log, Inbox Log, Supplier Tracker</t>
        </is>
      </c>
    </row>
    <row r="3">
      <c r="A3" t="inlineStr">
        <is>
          <t>Outlook (Office 365)</t>
        </is>
      </c>
      <c r="B3" t="inlineStr">
        <is>
          <t>Business</t>
        </is>
      </c>
      <c r="C3" t="inlineStr">
        <is>
          <t>Business</t>
        </is>
      </c>
      <c r="D3" t="inlineStr"/>
      <c r="E3" t="inlineStr">
        <is>
          <t>Y</t>
        </is>
      </c>
      <c r="F3" t="inlineStr"/>
      <c r="G3" t="inlineStr">
        <is>
          <t>Y</t>
        </is>
      </c>
      <c r="H3" t="inlineStr"/>
      <c r="I3" t="inlineStr">
        <is>
          <t>Y</t>
        </is>
      </c>
      <c r="J3" s="2" t="inlineStr">
        <is>
          <t>Supplier replies, inbox triage</t>
        </is>
      </c>
    </row>
    <row r="4">
      <c r="A4" t="inlineStr">
        <is>
          <t>Microsoft Teams</t>
        </is>
      </c>
      <c r="B4" t="inlineStr">
        <is>
          <t>Business</t>
        </is>
      </c>
      <c r="C4" t="inlineStr">
        <is>
          <t>Business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s="2" t="inlineStr">
        <is>
          <t>Customer Care channel escalation</t>
        </is>
      </c>
    </row>
    <row r="5">
      <c r="A5" t="inlineStr">
        <is>
          <t>Dataverse</t>
        </is>
      </c>
      <c r="B5" t="inlineStr">
        <is>
          <t>Business</t>
        </is>
      </c>
      <c r="C5" t="inlineStr">
        <is>
          <t>Business</t>
        </is>
      </c>
      <c r="D5" t="inlineStr"/>
      <c r="E5" t="inlineStr"/>
      <c r="F5" t="inlineStr"/>
      <c r="G5" t="inlineStr"/>
      <c r="H5" t="inlineStr"/>
      <c r="I5" t="inlineStr"/>
      <c r="J5" s="2" t="inlineStr">
        <is>
          <t>Solutions and tables</t>
        </is>
      </c>
    </row>
    <row r="6">
      <c r="A6" t="inlineStr">
        <is>
          <t>Approvals</t>
        </is>
      </c>
      <c r="B6" t="inlineStr">
        <is>
          <t>Business</t>
        </is>
      </c>
      <c r="C6" t="inlineStr">
        <is>
          <t>Business</t>
        </is>
      </c>
      <c r="D6" t="inlineStr"/>
      <c r="E6" t="inlineStr"/>
      <c r="F6" t="inlineStr"/>
      <c r="G6" t="inlineStr"/>
      <c r="H6" t="inlineStr"/>
      <c r="I6" t="inlineStr"/>
      <c r="J6" s="2" t="inlineStr">
        <is>
          <t>Refund sign-off workflow (planned)</t>
        </is>
      </c>
    </row>
    <row r="7">
      <c r="A7" t="inlineStr">
        <is>
          <t>Planner</t>
        </is>
      </c>
      <c r="B7" t="inlineStr">
        <is>
          <t>Business</t>
        </is>
      </c>
      <c r="C7" t="inlineStr">
        <is>
          <t>Business</t>
        </is>
      </c>
      <c r="D7" t="inlineStr"/>
      <c r="E7" t="inlineStr">
        <is>
          <t>Y</t>
        </is>
      </c>
      <c r="F7" t="inlineStr"/>
      <c r="G7" t="inlineStr">
        <is>
          <t>Y</t>
        </is>
      </c>
      <c r="H7" t="inlineStr"/>
      <c r="I7" t="inlineStr"/>
      <c r="J7" s="2" t="inlineStr">
        <is>
          <t>Pashun Pro Tee US Launch plan</t>
        </is>
      </c>
    </row>
    <row r="8">
      <c r="A8" t="inlineStr">
        <is>
          <t>Excel Online (Business)</t>
        </is>
      </c>
      <c r="B8" t="inlineStr">
        <is>
          <t>Business</t>
        </is>
      </c>
      <c r="C8" t="inlineStr">
        <is>
          <t>Business</t>
        </is>
      </c>
      <c r="D8" t="inlineStr"/>
      <c r="E8" t="inlineStr"/>
      <c r="F8" t="inlineStr">
        <is>
          <t>Y</t>
        </is>
      </c>
      <c r="G8" t="inlineStr">
        <is>
          <t>Y</t>
        </is>
      </c>
      <c r="H8" t="inlineStr"/>
      <c r="I8" t="inlineStr"/>
      <c r="J8" s="2" t="inlineStr">
        <is>
          <t>Sales and stock workbook</t>
        </is>
      </c>
    </row>
    <row r="9">
      <c r="A9" t="inlineStr">
        <is>
          <t>Word Online (Business)</t>
        </is>
      </c>
      <c r="B9" t="inlineStr">
        <is>
          <t>Business</t>
        </is>
      </c>
      <c r="C9" t="inlineStr">
        <is>
          <t>Business</t>
        </is>
      </c>
      <c r="D9" t="inlineStr"/>
      <c r="E9" t="inlineStr"/>
      <c r="F9" t="inlineStr"/>
      <c r="G9" t="inlineStr"/>
      <c r="H9" t="inlineStr"/>
      <c r="I9" t="inlineStr"/>
      <c r="J9" s="2" t="inlineStr">
        <is>
          <t>Create documents on behalf of the user</t>
        </is>
      </c>
    </row>
    <row r="10">
      <c r="A10" t="inlineStr">
        <is>
          <t>OneDrive for Business</t>
        </is>
      </c>
      <c r="B10" t="inlineStr">
        <is>
          <t>Business</t>
        </is>
      </c>
      <c r="C10" t="inlineStr">
        <is>
          <t>Business</t>
        </is>
      </c>
      <c r="D10" t="inlineStr"/>
      <c r="E10" t="inlineStr"/>
      <c r="F10" t="inlineStr"/>
      <c r="G10" t="inlineStr"/>
      <c r="H10" t="inlineStr"/>
      <c r="I10" t="inlineStr"/>
      <c r="J10" s="2" t="inlineStr">
        <is>
          <t>Personal work files</t>
        </is>
      </c>
    </row>
    <row r="11">
      <c r="A11" t="inlineStr">
        <is>
          <t>Power Automate (flows)</t>
        </is>
      </c>
      <c r="B11" t="inlineStr">
        <is>
          <t>Business</t>
        </is>
      </c>
      <c r="C11" t="inlineStr">
        <is>
          <t>Business</t>
        </is>
      </c>
      <c r="D11" t="inlineStr">
        <is>
          <t>Y</t>
        </is>
      </c>
      <c r="E11" t="inlineStr"/>
      <c r="F11" t="inlineStr"/>
      <c r="G11" t="inlineStr"/>
      <c r="H11" t="inlineStr">
        <is>
          <t>Y</t>
        </is>
      </c>
      <c r="I11" t="inlineStr"/>
      <c r="J11" s="2" t="inlineStr">
        <is>
          <t>Log Return Request; schedule trigger</t>
        </is>
      </c>
    </row>
    <row r="12">
      <c r="A12" t="inlineStr">
        <is>
          <t>Twitter/X</t>
        </is>
      </c>
      <c r="B12" t="inlineStr">
        <is>
          <t>Non-Business</t>
        </is>
      </c>
      <c r="C12" t="inlineStr">
        <is>
          <t>Blocked</t>
        </is>
      </c>
      <c r="D12" t="inlineStr"/>
      <c r="E12" t="inlineStr"/>
      <c r="F12" t="inlineStr"/>
      <c r="G12" t="inlineStr"/>
      <c r="H12" t="inlineStr"/>
      <c r="I12" t="inlineStr"/>
      <c r="J12" s="2" t="inlineStr">
        <is>
          <t>Public social channel; keeps SharePoint data away from social</t>
        </is>
      </c>
    </row>
    <row r="13">
      <c r="A13" t="inlineStr">
        <is>
          <t>Dropbox</t>
        </is>
      </c>
      <c r="B13" t="inlineStr">
        <is>
          <t>Non-Business</t>
        </is>
      </c>
      <c r="C13" t="inlineStr">
        <is>
          <t>Blocked</t>
        </is>
      </c>
      <c r="D13" t="inlineStr"/>
      <c r="E13" t="inlineStr"/>
      <c r="F13" t="inlineStr"/>
      <c r="G13" t="inlineStr"/>
      <c r="H13" t="inlineStr"/>
      <c r="I13" t="inlineStr"/>
      <c r="J13" s="2" t="inlineStr">
        <is>
          <t>Consumer storage</t>
        </is>
      </c>
    </row>
    <row r="14">
      <c r="A14" t="inlineStr">
        <is>
          <t>Gmail (personal)</t>
        </is>
      </c>
      <c r="B14" t="inlineStr">
        <is>
          <t>Non-Business</t>
        </is>
      </c>
      <c r="C14" t="inlineStr">
        <is>
          <t>Blocked</t>
        </is>
      </c>
      <c r="D14" t="inlineStr"/>
      <c r="E14" t="inlineStr"/>
      <c r="F14" t="inlineStr"/>
      <c r="G14" t="inlineStr"/>
      <c r="H14" t="inlineStr"/>
      <c r="I14" t="inlineStr"/>
      <c r="J14" s="2" t="inlineStr">
        <is>
          <t>Personal mail</t>
        </is>
      </c>
    </row>
    <row r="15">
      <c r="A15" t="inlineStr">
        <is>
          <t>Facebook</t>
        </is>
      </c>
      <c r="B15" t="inlineStr">
        <is>
          <t>Non-Business</t>
        </is>
      </c>
      <c r="C15" t="inlineStr">
        <is>
          <t>Blocked</t>
        </is>
      </c>
      <c r="D15" t="inlineStr"/>
      <c r="E15" t="inlineStr"/>
      <c r="F15" t="inlineStr"/>
      <c r="G15" t="inlineStr"/>
      <c r="H15" t="inlineStr"/>
      <c r="I15" t="inlineStr"/>
      <c r="J15" s="2" t="inlineStr">
        <is>
          <t>Social app</t>
        </is>
      </c>
    </row>
    <row r="16">
      <c r="A16" t="inlineStr">
        <is>
          <t>HTTP (unapproved endpoint)</t>
        </is>
      </c>
      <c r="B16" t="inlineStr">
        <is>
          <t>Blocked</t>
        </is>
      </c>
      <c r="C16" t="inlineStr">
        <is>
          <t>Blocked</t>
        </is>
      </c>
      <c r="D16" t="inlineStr"/>
      <c r="E16" t="inlineStr"/>
      <c r="F16" t="inlineStr"/>
      <c r="G16" t="inlineStr"/>
      <c r="H16" t="inlineStr"/>
      <c r="I16" t="inlineStr"/>
      <c r="J16" s="2" t="inlineStr">
        <is>
          <t>Anything unapproved is Blocked until reviewed</t>
        </is>
      </c>
    </row>
    <row r="18">
      <c r="A18" s="3" t="inlineStr">
        <is>
          <t>Notes</t>
        </is>
      </c>
    </row>
    <row r="19">
      <c r="A19" t="inlineStr">
        <is>
          <t>Business, Non-Business and Blocked connectors cannot be used together in the same agent or flow. Column C is the group you assign in the demo policy. In the lecture text Twitter/X, Dropbox and personal Gmail are described as Non-Business; the demo policy moves consumer storage and social apps to Blocked. Either way they cannot be mixed with SharePoint, Outlook or Teams.</t>
        </is>
      </c>
    </row>
    <row r="20">
      <c r="A20" t="inlineStr">
        <is>
          <t>Add a Y under each agent that uses the connector. The DLP Mix Check sheet then flags any agent that mixes groups.</t>
        </is>
      </c>
    </row>
  </sheetData>
  <dataValidations count="2">
    <dataValidation sqref="B2:C40" showDropDown="0" showInputMessage="0" showErrorMessage="0" allowBlank="1" type="list">
      <formula1>"Business,Non-Business,Blocked"</formula1>
    </dataValidation>
    <dataValidation sqref="D2:I40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24" customWidth="1" min="4" max="4"/>
    <col width="34" customWidth="1" min="5" max="5"/>
  </cols>
  <sheetData>
    <row r="1">
      <c r="A1" s="4" t="inlineStr">
        <is>
          <t>Agent</t>
        </is>
      </c>
      <c r="B1" s="4" t="inlineStr">
        <is>
          <t>Business connectors used</t>
        </is>
      </c>
      <c r="C1" s="4" t="inlineStr">
        <is>
          <t>Non-Business connectors used</t>
        </is>
      </c>
      <c r="D1" s="4" t="inlineStr">
        <is>
          <t>Blocked connectors used</t>
        </is>
      </c>
      <c r="E1" s="4" t="inlineStr">
        <is>
          <t>Result</t>
        </is>
      </c>
    </row>
    <row r="2">
      <c r="A2" t="inlineStr">
        <is>
          <t>Customer Service Agent</t>
        </is>
      </c>
      <c r="B2">
        <f>COUNTIFS('Connector Classification'!$C$2:$C$40,"Business",'Connector Classification'!D$2:D$40,"Y")</f>
        <v/>
      </c>
      <c r="C2">
        <f>COUNTIFS('Connector Classification'!$C$2:$C$40,"Non-Business",'Connector Classification'!D$2:D$40,"Y")</f>
        <v/>
      </c>
      <c r="D2">
        <f>COUNTIFS('Connector Classification'!$C$2:$C$40,"Blocked",'Connector Classification'!D$2:D$40,"Y")</f>
        <v/>
      </c>
      <c r="E2">
        <f>IF(D2&gt;0,"Uses a Blocked connector",IF(AND(B2&gt;0,C2&gt;0),"Mixed groups - not allowed","OK"))</f>
        <v/>
      </c>
    </row>
    <row r="3">
      <c r="A3" t="inlineStr">
        <is>
          <t>Supplier Follow Up</t>
        </is>
      </c>
      <c r="B3">
        <f>COUNTIFS('Connector Classification'!$C$2:$C$40,"Business",'Connector Classification'!E$2:E$40,"Y")</f>
        <v/>
      </c>
      <c r="C3">
        <f>COUNTIFS('Connector Classification'!$C$2:$C$40,"Non-Business",'Connector Classification'!E$2:E$40,"Y")</f>
        <v/>
      </c>
      <c r="D3">
        <f>COUNTIFS('Connector Classification'!$C$2:$C$40,"Blocked",'Connector Classification'!E$2:E$40,"Y")</f>
        <v/>
      </c>
      <c r="E3">
        <f>IF(D3&gt;0,"Uses a Blocked connector",IF(AND(B3&gt;0,C3&gt;0),"Mixed groups - not allowed","OK"))</f>
        <v/>
      </c>
    </row>
    <row r="4">
      <c r="A4" t="inlineStr">
        <is>
          <t>Sales Reporter</t>
        </is>
      </c>
      <c r="B4">
        <f>COUNTIFS('Connector Classification'!$C$2:$C$40,"Business",'Connector Classification'!F$2:F$40,"Y")</f>
        <v/>
      </c>
      <c r="C4">
        <f>COUNTIFS('Connector Classification'!$C$2:$C$40,"Non-Business",'Connector Classification'!F$2:F$40,"Y")</f>
        <v/>
      </c>
      <c r="D4">
        <f>COUNTIFS('Connector Classification'!$C$2:$C$40,"Blocked",'Connector Classification'!F$2:F$40,"Y")</f>
        <v/>
      </c>
      <c r="E4">
        <f>IF(D4&gt;0,"Uses a Blocked connector",IF(AND(B4&gt;0,C4&gt;0),"Mixed groups - not allowed","OK"))</f>
        <v/>
      </c>
    </row>
    <row r="5">
      <c r="A5" t="inlineStr">
        <is>
          <t>Project Support Helper</t>
        </is>
      </c>
      <c r="B5">
        <f>COUNTIFS('Connector Classification'!$C$2:$C$40,"Business",'Connector Classification'!G$2:G$40,"Y")</f>
        <v/>
      </c>
      <c r="C5">
        <f>COUNTIFS('Connector Classification'!$C$2:$C$40,"Non-Business",'Connector Classification'!G$2:G$40,"Y")</f>
        <v/>
      </c>
      <c r="D5">
        <f>COUNTIFS('Connector Classification'!$C$2:$C$40,"Blocked",'Connector Classification'!G$2:G$40,"Y")</f>
        <v/>
      </c>
      <c r="E5">
        <f>IF(D5&gt;0,"Uses a Blocked connector",IF(AND(B5&gt;0,C5&gt;0),"Mixed groups - not allowed","OK"))</f>
        <v/>
      </c>
    </row>
    <row r="6">
      <c r="A6" t="inlineStr">
        <is>
          <t>Operations Agent</t>
        </is>
      </c>
      <c r="B6">
        <f>COUNTIFS('Connector Classification'!$C$2:$C$40,"Business",'Connector Classification'!H$2:H$40,"Y")</f>
        <v/>
      </c>
      <c r="C6">
        <f>COUNTIFS('Connector Classification'!$C$2:$C$40,"Non-Business",'Connector Classification'!H$2:H$40,"Y")</f>
        <v/>
      </c>
      <c r="D6">
        <f>COUNTIFS('Connector Classification'!$C$2:$C$40,"Blocked",'Connector Classification'!H$2:H$40,"Y")</f>
        <v/>
      </c>
      <c r="E6">
        <f>IF(D6&gt;0,"Uses a Blocked connector",IF(AND(B6&gt;0,C6&gt;0),"Mixed groups - not allowed","OK"))</f>
        <v/>
      </c>
    </row>
    <row r="7">
      <c r="A7" t="inlineStr">
        <is>
          <t>Inbox Sort and Respond</t>
        </is>
      </c>
      <c r="B7">
        <f>COUNTIFS('Connector Classification'!$C$2:$C$40,"Business",'Connector Classification'!I$2:I$40,"Y")</f>
        <v/>
      </c>
      <c r="C7">
        <f>COUNTIFS('Connector Classification'!$C$2:$C$40,"Non-Business",'Connector Classification'!I$2:I$40,"Y")</f>
        <v/>
      </c>
      <c r="D7">
        <f>COUNTIFS('Connector Classification'!$C$2:$C$40,"Blocked",'Connector Classification'!I$2:I$40,"Y")</f>
        <v/>
      </c>
      <c r="E7">
        <f>IF(D7&gt;0,"Uses a Blocked connector",IF(AND(B7&gt;0,C7&gt;0),"Mixed groups - not allowed","OK"))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6" customWidth="1" min="3" max="3"/>
    <col width="18" customWidth="1" min="4" max="4"/>
    <col width="14" customWidth="1" min="5" max="5"/>
    <col width="16" customWidth="1" min="6" max="6"/>
    <col width="40" customWidth="1" min="7" max="7"/>
    <col width="32" customWidth="1" min="8" max="8"/>
    <col width="42" customWidth="1" min="9" max="9"/>
    <col width="40" customWidth="1" min="10" max="10"/>
    <col width="16" customWidth="1" min="11" max="11"/>
    <col width="16" customWidth="1" min="12" max="12"/>
    <col width="16" customWidth="1" min="13" max="13"/>
    <col width="22" customWidth="1" min="14" max="14"/>
    <col width="14" customWidth="1" min="15" max="15"/>
    <col width="16" customWidth="1" min="16" max="16"/>
    <col width="16" customWidth="1" min="17" max="17"/>
  </cols>
  <sheetData>
    <row r="1" ht="48" customHeight="1">
      <c r="A1" s="1" t="inlineStr">
        <is>
          <t>Agent</t>
        </is>
      </c>
      <c r="B1" s="1" t="inlineStr">
        <is>
          <t>Agent name in solutions</t>
        </is>
      </c>
      <c r="C1" s="1" t="inlineStr">
        <is>
          <t>Purpose</t>
        </is>
      </c>
      <c r="D1" s="1" t="inlineStr">
        <is>
          <t>Named owner</t>
        </is>
      </c>
      <c r="E1" s="1" t="inlineStr">
        <is>
          <t>Admin</t>
        </is>
      </c>
      <c r="F1" s="1" t="inlineStr">
        <is>
          <t>Business approver</t>
        </is>
      </c>
      <c r="G1" s="1" t="inlineStr">
        <is>
          <t>Environment</t>
        </is>
      </c>
      <c r="H1" s="1" t="inlineStr">
        <is>
          <t>Harness / channel</t>
        </is>
      </c>
      <c r="I1" s="1" t="inlineStr">
        <is>
          <t>Data sources</t>
        </is>
      </c>
      <c r="J1" s="1" t="inlineStr">
        <is>
          <t>Escalation route</t>
        </is>
      </c>
      <c r="K1" s="1" t="inlineStr">
        <is>
          <t>Status</t>
        </is>
      </c>
      <c r="L1" s="1" t="inlineStr">
        <is>
          <t>Last conversation date</t>
        </is>
      </c>
      <c r="M1" s="1" t="inlineStr">
        <is>
          <t>Days since last conversation</t>
        </is>
      </c>
      <c r="N1" s="1" t="inlineStr">
        <is>
          <t>Retirement review (60-day rule)</t>
        </is>
      </c>
      <c r="O1" s="1" t="inlineStr">
        <is>
          <t>Last review date</t>
        </is>
      </c>
      <c r="P1" s="1" t="inlineStr">
        <is>
          <t>Next review (monthly)</t>
        </is>
      </c>
      <c r="Q1" s="1" t="inlineStr">
        <is>
          <t>Review owner</t>
        </is>
      </c>
    </row>
    <row r="2">
      <c r="A2" t="inlineStr">
        <is>
          <t>Customer Service Agent</t>
        </is>
      </c>
      <c r="B2" t="inlineStr">
        <is>
          <t>PS-Customer-Service</t>
        </is>
      </c>
      <c r="C2" s="2" t="inlineStr">
        <is>
          <t>Answers returns, exchanges, sizing and delivery questions</t>
        </is>
      </c>
      <c r="D2" t="inlineStr">
        <is>
          <t>Jamie Jordan</t>
        </is>
      </c>
      <c r="E2" t="inlineStr">
        <is>
          <t>Paul Ashun</t>
        </is>
      </c>
      <c r="F2" t="inlineStr">
        <is>
          <t>Morgan Reyes</t>
        </is>
      </c>
      <c r="G2" s="2" t="inlineStr">
        <is>
          <t>PashunSports-CustomerService-DEV (UAT and PROD created in demo)</t>
        </is>
      </c>
      <c r="H2" s="2" t="inlineStr">
        <is>
          <t>Standard; Microsoft 365 and Microsoft Teams</t>
        </is>
      </c>
      <c r="I2" s="2" t="inlineStr">
        <is>
          <t>Customer Policies library</t>
        </is>
      </c>
      <c r="J2" s="2" t="inlineStr">
        <is>
          <t>Escalate topic &gt; Customer Care channel &gt; Jamie</t>
        </is>
      </c>
      <c r="K2" t="inlineStr">
        <is>
          <t>Release 1, in UAT</t>
        </is>
      </c>
      <c r="L2" s="5" t="n">
        <v>46309</v>
      </c>
      <c r="M2">
        <f>IF(L2="","",TODAY()-L2)</f>
        <v/>
      </c>
      <c r="N2">
        <f>IF(M2="","",IF(M2&gt;=60,"Review: re-promote or retire","Active"))</f>
        <v/>
      </c>
      <c r="O2" s="5" t="n">
        <v>46310</v>
      </c>
      <c r="P2" s="5">
        <f>IF(O2="","",EDATE(O2,1))</f>
        <v/>
      </c>
      <c r="Q2" t="inlineStr">
        <is>
          <t>Jamie Jordan</t>
        </is>
      </c>
    </row>
    <row r="3">
      <c r="A3" t="inlineStr">
        <is>
          <t>Supplier Follow Up</t>
        </is>
      </c>
      <c r="B3" t="inlineStr">
        <is>
          <t>PS-Supplier-Follow-Up</t>
        </is>
      </c>
      <c r="C3" s="2" t="inlineStr">
        <is>
          <t>Checks supplier replies and deliveries, drafts chases for approval</t>
        </is>
      </c>
      <c r="D3" t="inlineStr">
        <is>
          <t>Jamie Jordan</t>
        </is>
      </c>
      <c r="E3" t="inlineStr">
        <is>
          <t>Paul Ashun</t>
        </is>
      </c>
      <c r="F3" t="inlineStr">
        <is>
          <t>Paul Ashun</t>
        </is>
      </c>
      <c r="G3" s="2" t="inlineStr">
        <is>
          <t>Pashun Sports – Dev</t>
        </is>
      </c>
      <c r="H3" s="2" t="inlineStr">
        <is>
          <t>Standard; child/connected agent</t>
        </is>
      </c>
      <c r="I3" s="2" t="inlineStr">
        <is>
          <t>Ridgeline Supplier Agreement 2026, launch plan, Outlook threads</t>
        </is>
      </c>
      <c r="J3" s="2" t="inlineStr">
        <is>
          <t>Returns to Project Support Helper; spend goes to Morgan Reyes</t>
        </is>
      </c>
      <c r="K3" t="inlineStr">
        <is>
          <t>Release 2, in Dev</t>
        </is>
      </c>
      <c r="L3" s="5" t="n">
        <v>46308</v>
      </c>
      <c r="M3">
        <f>IF(L3="","",TODAY()-L3)</f>
        <v/>
      </c>
      <c r="N3">
        <f>IF(M3="","",IF(M3&gt;=60,"Review: re-promote or retire","Active"))</f>
        <v/>
      </c>
      <c r="O3" s="5" t="n">
        <v>46310</v>
      </c>
      <c r="P3" s="5">
        <f>IF(O3="","",EDATE(O3,1))</f>
        <v/>
      </c>
      <c r="Q3" t="inlineStr">
        <is>
          <t>Jamie Jordan</t>
        </is>
      </c>
    </row>
    <row r="4">
      <c r="A4" t="inlineStr">
        <is>
          <t>Sales Reporter</t>
        </is>
      </c>
      <c r="B4" t="inlineStr">
        <is>
          <t>PS-Sales-Reporter</t>
        </is>
      </c>
      <c r="C4" s="2" t="inlineStr">
        <is>
          <t>Answers sales and stock questions, drafts the monthly summary</t>
        </is>
      </c>
      <c r="D4" t="inlineStr">
        <is>
          <t>Morgan Reyes</t>
        </is>
      </c>
      <c r="E4" t="inlineStr">
        <is>
          <t>Paul Ashun</t>
        </is>
      </c>
      <c r="F4" t="inlineStr">
        <is>
          <t>Paul Ashun</t>
        </is>
      </c>
      <c r="G4" s="2" t="inlineStr">
        <is>
          <t>Pashun Sports – Dev</t>
        </is>
      </c>
      <c r="H4" s="2" t="inlineStr">
        <is>
          <t>Standard; connected agent</t>
        </is>
      </c>
      <c r="I4" s="2" t="inlineStr">
        <is>
          <t>Pashun-ProTee-US-Sales-and-Stock-Forecast.xlsx (Excel tool)</t>
        </is>
      </c>
      <c r="J4" s="2" t="inlineStr">
        <is>
          <t>Returns to Project Support Helper</t>
        </is>
      </c>
      <c r="K4" t="inlineStr">
        <is>
          <t>Release 2, in Dev</t>
        </is>
      </c>
      <c r="L4" s="5" t="n">
        <v>46308</v>
      </c>
      <c r="M4">
        <f>IF(L4="","",TODAY()-L4)</f>
        <v/>
      </c>
      <c r="N4">
        <f>IF(M4="","",IF(M4&gt;=60,"Review: re-promote or retire","Active"))</f>
        <v/>
      </c>
      <c r="O4" s="5" t="n">
        <v>46310</v>
      </c>
      <c r="P4" s="5">
        <f>IF(O4="","",EDATE(O4,1))</f>
        <v/>
      </c>
      <c r="Q4" t="inlineStr">
        <is>
          <t>Morgan Reyes</t>
        </is>
      </c>
    </row>
    <row r="5">
      <c r="A5" t="inlineStr">
        <is>
          <t>Project Support Helper</t>
        </is>
      </c>
      <c r="B5" t="inlineStr">
        <is>
          <t>PS-Project-Support-Helper</t>
        </is>
      </c>
      <c r="C5" s="2" t="inlineStr">
        <is>
          <t>Internal front door; routes work to the three specialists</t>
        </is>
      </c>
      <c r="D5" t="inlineStr">
        <is>
          <t>Jamie Jordan</t>
        </is>
      </c>
      <c r="E5" t="inlineStr">
        <is>
          <t>Paul Ashun</t>
        </is>
      </c>
      <c r="F5" t="inlineStr">
        <is>
          <t>Paul Ashun</t>
        </is>
      </c>
      <c r="G5" s="2" t="inlineStr">
        <is>
          <t>Pashun Sports – Dev</t>
        </is>
      </c>
      <c r="H5" s="2" t="inlineStr">
        <is>
          <t>Standard; Microsoft Teams</t>
        </is>
      </c>
      <c r="I5" s="2" t="inlineStr">
        <is>
          <t>Routing and fallback only</t>
        </is>
      </c>
      <c r="J5" s="2" t="inlineStr">
        <is>
          <t>Fallback suggests who to ask</t>
        </is>
      </c>
      <c r="K5" t="inlineStr">
        <is>
          <t>Release 2, in Dev</t>
        </is>
      </c>
      <c r="L5" s="5" t="n">
        <v>46309</v>
      </c>
      <c r="M5">
        <f>IF(L5="","",TODAY()-L5)</f>
        <v/>
      </c>
      <c r="N5">
        <f>IF(M5="","",IF(M5&gt;=60,"Review: re-promote or retire","Active"))</f>
        <v/>
      </c>
      <c r="O5" s="5" t="n">
        <v>46310</v>
      </c>
      <c r="P5" s="5">
        <f>IF(O5="","",EDATE(O5,1))</f>
        <v/>
      </c>
      <c r="Q5" t="inlineStr">
        <is>
          <t>Jamie Jordan</t>
        </is>
      </c>
    </row>
    <row r="6">
      <c r="A6" t="inlineStr">
        <is>
          <t>Pashun Sports Operations Agent</t>
        </is>
      </c>
      <c r="B6" t="inlineStr">
        <is>
          <t>PS-Operations-Agent</t>
        </is>
      </c>
      <c r="C6" s="2" t="inlineStr">
        <is>
          <t>Computer use: Check Supplier Order Status (Preview, prototype)</t>
        </is>
      </c>
      <c r="D6" t="inlineStr">
        <is>
          <t>Jamie Jordan</t>
        </is>
      </c>
      <c r="E6" t="inlineStr">
        <is>
          <t>Paul Ashun</t>
        </is>
      </c>
      <c r="F6" t="inlineStr">
        <is>
          <t>Morgan Reyes</t>
        </is>
      </c>
      <c r="G6" s="2" t="inlineStr">
        <is>
          <t>Pashun Sports – Dev</t>
        </is>
      </c>
      <c r="H6" s="2" t="inlineStr">
        <is>
          <t>Standard; computer use tool, weekday 7:00 AM trigger</t>
        </is>
      </c>
      <c r="I6" s="2" t="inlineStr">
        <is>
          <t>Ridgeline portal (read-only), Supplier Tracker list</t>
        </is>
      </c>
      <c r="J6" s="2" t="inlineStr">
        <is>
          <t>Run failure reported; human checks the trace</t>
        </is>
      </c>
      <c r="K6" t="inlineStr">
        <is>
          <t>Prototype</t>
        </is>
      </c>
      <c r="L6" s="5" t="n">
        <v>46307</v>
      </c>
      <c r="M6">
        <f>IF(L6="","",TODAY()-L6)</f>
        <v/>
      </c>
      <c r="N6">
        <f>IF(M6="","",IF(M6&gt;=60,"Review: re-promote or retire","Active"))</f>
        <v/>
      </c>
      <c r="O6" s="5" t="n">
        <v>46310</v>
      </c>
      <c r="P6" s="5">
        <f>IF(O6="","",EDATE(O6,1))</f>
        <v/>
      </c>
      <c r="Q6" t="inlineStr">
        <is>
          <t>Jamie Jordan</t>
        </is>
      </c>
    </row>
    <row r="7">
      <c r="A7" t="inlineStr">
        <is>
          <t>Inbox Sort and Respond</t>
        </is>
      </c>
      <c r="B7" t="inlineStr">
        <is>
          <t>PS-Inbox-Sort-and-Respond</t>
        </is>
      </c>
      <c r="C7" s="2" t="inlineStr">
        <is>
          <t>Sorts and drafts replies for Paul's inbox (workflow agent)</t>
        </is>
      </c>
      <c r="D7" t="inlineStr">
        <is>
          <t>Paul Ashun</t>
        </is>
      </c>
      <c r="E7" t="inlineStr">
        <is>
          <t>Paul Ashun</t>
        </is>
      </c>
      <c r="F7" t="inlineStr">
        <is>
          <t>Jamie Jordan</t>
        </is>
      </c>
      <c r="G7" s="2" t="inlineStr">
        <is>
          <t>Pashun Sports – Dev</t>
        </is>
      </c>
      <c r="H7" s="2" t="inlineStr">
        <is>
          <t>Standard; autonomous trigger</t>
        </is>
      </c>
      <c r="I7" s="2" t="inlineStr">
        <is>
          <t>Inbox, Inbox Log list</t>
        </is>
      </c>
      <c r="J7" s="2" t="inlineStr">
        <is>
          <t>Drafts only; Paul approves before sending</t>
        </is>
      </c>
      <c r="K7" t="inlineStr">
        <is>
          <t>Pilot</t>
        </is>
      </c>
      <c r="L7" s="5" t="n">
        <v>46305</v>
      </c>
      <c r="M7">
        <f>IF(L7="","",TODAY()-L7)</f>
        <v/>
      </c>
      <c r="N7">
        <f>IF(M7="","",IF(M7&gt;=60,"Review: re-promote or retire","Active"))</f>
        <v/>
      </c>
      <c r="O7" s="5" t="n">
        <v>46310</v>
      </c>
      <c r="P7" s="5">
        <f>IF(O7="","",EDATE(O7,1))</f>
        <v/>
      </c>
      <c r="Q7" t="inlineStr">
        <is>
          <t>Paul Ashun</t>
        </is>
      </c>
    </row>
    <row r="8">
      <c r="A8" t="inlineStr">
        <is>
          <t>Launch Briefing agent</t>
        </is>
      </c>
      <c r="B8" t="inlineStr">
        <is>
          <t>PS-Launch-Briefing</t>
        </is>
      </c>
      <c r="C8" s="2" t="inlineStr">
        <is>
          <t>Daily launch briefing and risk report (GitHub Copilot harness)</t>
        </is>
      </c>
      <c r="D8" t="inlineStr">
        <is>
          <t>Paul Ashun</t>
        </is>
      </c>
      <c r="E8" t="inlineStr">
        <is>
          <t>Paul Ashun</t>
        </is>
      </c>
      <c r="F8" t="inlineStr">
        <is>
          <t>Jamie Jordan</t>
        </is>
      </c>
      <c r="G8" s="2" t="inlineStr">
        <is>
          <t>Pashun Sports – Dev</t>
        </is>
      </c>
      <c r="H8" s="2" t="inlineStr">
        <is>
          <t>GitHub Copilot harness</t>
        </is>
      </c>
      <c r="I8" s="2" t="inlineStr">
        <is>
          <t>Launch plan, risk report tool</t>
        </is>
      </c>
      <c r="J8" s="2" t="inlineStr">
        <is>
          <t>Paul reviews the briefing</t>
        </is>
      </c>
      <c r="K8" t="inlineStr">
        <is>
          <t>Pilot</t>
        </is>
      </c>
      <c r="L8" s="5" t="n">
        <v>46304</v>
      </c>
      <c r="M8">
        <f>IF(L8="","",TODAY()-L8)</f>
        <v/>
      </c>
      <c r="N8">
        <f>IF(M8="","",IF(M8&gt;=60,"Review: re-promote or retire","Active"))</f>
        <v/>
      </c>
      <c r="O8" s="5" t="n">
        <v>46310</v>
      </c>
      <c r="P8" s="5">
        <f>IF(O8="","",EDATE(O8,1))</f>
        <v/>
      </c>
      <c r="Q8" t="inlineStr">
        <is>
          <t>Paul Ashun</t>
        </is>
      </c>
    </row>
    <row r="9">
      <c r="A9" t="inlineStr">
        <is>
          <t>Returns Coach</t>
        </is>
      </c>
      <c r="B9" t="inlineStr">
        <is>
          <t>PS-Returns-Coach</t>
        </is>
      </c>
      <c r="C9" s="2" t="inlineStr">
        <is>
          <t>Declarative agent for Microsoft 365 Copilot Chat; coaches staff on returns</t>
        </is>
      </c>
      <c r="D9" t="inlineStr">
        <is>
          <t>Jamie Jordan</t>
        </is>
      </c>
      <c r="E9" t="inlineStr">
        <is>
          <t>Paul Ashun</t>
        </is>
      </c>
      <c r="F9" t="inlineStr">
        <is>
          <t>Morgan Reyes</t>
        </is>
      </c>
      <c r="G9" s="2" t="inlineStr">
        <is>
          <t>Pashun Sports – Dev</t>
        </is>
      </c>
      <c r="H9" s="2" t="inlineStr">
        <is>
          <t>Microsoft 365 Copilot Chat harness</t>
        </is>
      </c>
      <c r="I9" s="2" t="inlineStr">
        <is>
          <t>Customer Policies library</t>
        </is>
      </c>
      <c r="J9" s="2" t="inlineStr">
        <is>
          <t>Jamie Jordan</t>
        </is>
      </c>
      <c r="K9" t="inlineStr">
        <is>
          <t>Needs review</t>
        </is>
      </c>
      <c r="L9" s="5" t="n">
        <v>46223</v>
      </c>
      <c r="M9">
        <f>IF(L9="","",TODAY()-L9)</f>
        <v/>
      </c>
      <c r="N9">
        <f>IF(M9="","",IF(M9&gt;=60,"Review: re-promote or retire","Active"))</f>
        <v/>
      </c>
      <c r="O9" s="5" t="n">
        <v>46234</v>
      </c>
      <c r="P9" s="5">
        <f>IF(O9="","",EDATE(O9,1))</f>
        <v/>
      </c>
      <c r="Q9" t="inlineStr">
        <is>
          <t>Jamie Jordan</t>
        </is>
      </c>
    </row>
    <row r="10">
      <c r="L10" s="5" t="n"/>
      <c r="M10">
        <f>IF(L10="","",TODAY()-L10)</f>
        <v/>
      </c>
      <c r="N10">
        <f>IF(M10="","",IF(M10&gt;=60,"Review: re-promote or retire","Active"))</f>
        <v/>
      </c>
      <c r="O10" s="5" t="n"/>
      <c r="P10" s="5">
        <f>IF(O10="","",EDATE(O10,1))</f>
        <v/>
      </c>
    </row>
    <row r="11">
      <c r="L11" s="5" t="n"/>
      <c r="M11">
        <f>IF(L11="","",TODAY()-L11)</f>
        <v/>
      </c>
      <c r="N11">
        <f>IF(M11="","",IF(M11&gt;=60,"Review: re-promote or retire","Active"))</f>
        <v/>
      </c>
      <c r="O11" s="5" t="n"/>
      <c r="P11" s="5">
        <f>IF(O11="","",EDATE(O11,1))</f>
        <v/>
      </c>
    </row>
    <row r="12">
      <c r="L12" s="5" t="n"/>
      <c r="M12">
        <f>IF(L12="","",TODAY()-L12)</f>
        <v/>
      </c>
      <c r="N12">
        <f>IF(M12="","",IF(M12&gt;=60,"Review: re-promote or retire","Active"))</f>
        <v/>
      </c>
      <c r="O12" s="5" t="n"/>
      <c r="P12" s="5">
        <f>IF(O12="","",EDATE(O12,1))</f>
        <v/>
      </c>
    </row>
    <row r="13">
      <c r="L13" s="5" t="n"/>
      <c r="M13">
        <f>IF(L13="","",TODAY()-L13)</f>
        <v/>
      </c>
      <c r="N13">
        <f>IF(M13="","",IF(M13&gt;=60,"Review: re-promote or retire","Active"))</f>
        <v/>
      </c>
      <c r="O13" s="5" t="n"/>
      <c r="P13" s="5">
        <f>IF(O13="","",EDATE(O13,1))</f>
        <v/>
      </c>
    </row>
    <row r="14">
      <c r="L14" s="5" t="n"/>
      <c r="M14">
        <f>IF(L14="","",TODAY()-L14)</f>
        <v/>
      </c>
      <c r="N14">
        <f>IF(M14="","",IF(M14&gt;=60,"Review: re-promote or retire","Active"))</f>
        <v/>
      </c>
      <c r="O14" s="5" t="n"/>
      <c r="P14" s="5">
        <f>IF(O14="","",EDATE(O14,1))</f>
        <v/>
      </c>
    </row>
    <row r="16">
      <c r="A16" t="inlineStr">
        <is>
          <t>Rows 2 to 9 are sample data for training. Rows below are blank for your own agents. Names must be real people, not job titles. Last-conversation dates are sample values; the idle-days and next-review columns are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2026-10-15T16:32:56Z</dcterms:created>
  <dcterms:modified xmlns:dcterms="http://purl.org/dc/terms/" xmlns:xsi="http://www.w3.org/2001/XMLSchema-instance" xsi:type="dcterms:W3CDTF">2026-10-15T16:32:56Z</dcterms:modified>
</cp:coreProperties>
</file>