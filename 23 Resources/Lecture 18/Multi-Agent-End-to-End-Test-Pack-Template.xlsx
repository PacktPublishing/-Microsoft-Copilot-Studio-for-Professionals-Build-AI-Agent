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Pack" sheetId="1" state="visible" r:id="rId1"/>
    <sheet xmlns:r="http://schemas.openxmlformats.org/officeDocument/2006/relationships" name="Defect 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Pack" displayName="ScenarioPack" ref="A1:J9" headerRowCount="1">
  <autoFilter ref="A1:J9"/>
  <tableColumns count="10">
    <tableColumn id="1" name="Scenario ID"/>
    <tableColumn id="2" name="Flavor"/>
    <tableColumn id="3" name="Business narrative"/>
    <tableColumn id="4" name="Opening utterance"/>
    <tableColumn id="5" name="Expected agent"/>
    <tableColumn id="6" name="Expected outcome"/>
    <tableColumn id="7" name="Actual agent invoked"/>
    <tableColumn id="8" name="Result (Pass/Fail)"/>
    <tableColumn id="9" name="Failure mode (if fail)"/>
    <tableColumn id="10" name="Notes / fix"/>
  </tableColumns>
  <tableStyleInfo name="TableStyleMedium2" showRowStripes="1"/>
</table>
</file>

<file path=xl/tables/table2.xml><?xml version="1.0" encoding="utf-8"?>
<table xmlns="http://schemas.openxmlformats.org/spreadsheetml/2006/main" id="2" name="DefectLog" displayName="DefectLog" ref="A1:H7" headerRowCount="1">
  <autoFilter ref="A1:H7"/>
  <tableColumns count="8">
    <tableColumn id="1" name="Defect ID"/>
    <tableColumn id="2" name="Scenario"/>
    <tableColumn id="3" name="Failure mode (Misrouting / Context loss / Response collision / Silent fallback)"/>
    <tableColumn id="4" name="Expected"/>
    <tableColumn id="5" name="Actual"/>
    <tableColumn id="6" name="Root cause"/>
    <tableColumn id="7" name="Fix"/>
    <tableColumn id="8" name="Whole pack re-run and passed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60" customWidth="1" min="4" max="4"/>
    <col width="30" customWidth="1" min="5" max="5"/>
    <col width="60" customWidth="1" min="6" max="6"/>
    <col width="22" customWidth="1" min="7" max="7"/>
    <col width="14" customWidth="1" min="8" max="8"/>
    <col width="18" customWidth="1" min="9" max="9"/>
    <col width="40" customWidth="1" min="10" max="10"/>
  </cols>
  <sheetData>
    <row r="1">
      <c r="A1" s="1" t="inlineStr">
        <is>
          <t>Scenario ID</t>
        </is>
      </c>
      <c r="B1" s="1" t="inlineStr">
        <is>
          <t>Flavor</t>
        </is>
      </c>
      <c r="C1" s="1" t="inlineStr">
        <is>
          <t>Business narrative</t>
        </is>
      </c>
      <c r="D1" s="1" t="inlineStr">
        <is>
          <t>Opening utterance</t>
        </is>
      </c>
      <c r="E1" s="1" t="inlineStr">
        <is>
          <t>Expected agent</t>
        </is>
      </c>
      <c r="F1" s="1" t="inlineStr">
        <is>
          <t>Expected outcome</t>
        </is>
      </c>
      <c r="G1" s="1" t="inlineStr">
        <is>
          <t>Actual agent invoked</t>
        </is>
      </c>
      <c r="H1" s="1" t="inlineStr">
        <is>
          <t>Result (Pass/Fail)</t>
        </is>
      </c>
      <c r="I1" s="1" t="inlineStr">
        <is>
          <t>Failure mode (if fail)</t>
        </is>
      </c>
      <c r="J1" s="1" t="inlineStr">
        <is>
          <t>Notes / fix</t>
        </is>
      </c>
    </row>
    <row r="2">
      <c r="A2" t="inlineStr">
        <is>
          <t>S1</t>
        </is>
      </c>
      <c r="B2" t="inlineStr">
        <is>
          <t>Happy path</t>
        </is>
      </c>
      <c r="C2" s="2" t="inlineStr">
        <is>
          <t>Happy path, single agent</t>
        </is>
      </c>
      <c r="D2" s="2" t="inlineStr">
        <is>
          <t>I bought a navy Pro Tee, order PS-1048, and it's too small.</t>
        </is>
      </c>
      <c r="E2" s="2" t="inlineStr">
        <is>
          <t>Customer Service Agent</t>
        </is>
      </c>
      <c r="F2" s="2" t="inlineStr">
        <is>
          <t>Order number captured; exchange steps returned in one turn</t>
        </is>
      </c>
      <c r="G2" t="inlineStr"/>
      <c r="H2" t="inlineStr"/>
      <c r="I2" t="inlineStr"/>
      <c r="J2" t="inlineStr"/>
    </row>
    <row r="3">
      <c r="A3" t="inlineStr">
        <is>
          <t>S2</t>
        </is>
      </c>
      <c r="B3" t="inlineStr">
        <is>
          <t>Variation</t>
        </is>
      </c>
      <c r="C3" s="2" t="inlineStr">
        <is>
          <t>Reworded variation</t>
        </is>
      </c>
      <c r="D3" s="2" t="inlineStr">
        <is>
          <t>Wrong size, need a bigger one, it's PS-1048.</t>
        </is>
      </c>
      <c r="E3" s="2" t="inlineStr">
        <is>
          <t>Customer Service Agent</t>
        </is>
      </c>
      <c r="F3" s="2" t="inlineStr">
        <is>
          <t>Routing holds even without the words "return" or "exchange"; if not, tighten the specialist's description, not the front-door instructions</t>
        </is>
      </c>
      <c r="G3" t="inlineStr"/>
      <c r="H3" t="inlineStr"/>
      <c r="I3" t="inlineStr"/>
      <c r="J3" t="inlineStr"/>
    </row>
    <row r="4">
      <c r="A4" t="inlineStr">
        <is>
          <t>S3</t>
        </is>
      </c>
      <c r="B4" t="inlineStr">
        <is>
          <t>Multi-agent</t>
        </is>
      </c>
      <c r="C4" s="2" t="inlineStr">
        <is>
          <t>Multi-agent handoff in one conversation</t>
        </is>
      </c>
      <c r="D4" s="2" t="inlineStr">
        <is>
          <t>How many Pro Tees did we sell last month? ... And has Ridgeline replied about the fabric?</t>
        </is>
      </c>
      <c r="E4" s="2" t="inlineStr">
        <is>
          <t>Sales Reporter, then Supplier Follow Up</t>
        </is>
      </c>
      <c r="F4" s="2" t="inlineStr">
        <is>
          <t>Front door pivots between specialists; the first answer is not repeated</t>
        </is>
      </c>
      <c r="G4" t="inlineStr"/>
      <c r="H4" t="inlineStr"/>
      <c r="I4" t="inlineStr"/>
      <c r="J4" t="inlineStr"/>
    </row>
    <row r="5">
      <c r="A5" t="inlineStr">
        <is>
          <t>S4</t>
        </is>
      </c>
      <c r="B5" t="inlineStr">
        <is>
          <t>Context</t>
        </is>
      </c>
      <c r="C5" s="2" t="inlineStr">
        <is>
          <t>Context retention</t>
        </is>
      </c>
      <c r="D5" s="2" t="inlineStr">
        <is>
          <t>Turn 1: My order number is PS-1048. Turn 2: Actually I want to return it.</t>
        </is>
      </c>
      <c r="E5" s="2" t="inlineStr">
        <is>
          <t>Customer Service Agent</t>
        </is>
      </c>
      <c r="F5" s="2" t="inlineStr">
        <is>
          <t>Receives PS-1048 as an input variable; does not re-ask for it</t>
        </is>
      </c>
      <c r="G5" t="inlineStr"/>
      <c r="H5" t="inlineStr"/>
      <c r="I5" t="inlineStr"/>
      <c r="J5" t="inlineStr"/>
    </row>
    <row r="6">
      <c r="A6" t="inlineStr">
        <is>
          <t>S5</t>
        </is>
      </c>
      <c r="B6" t="inlineStr">
        <is>
          <t>Ambiguous</t>
        </is>
      </c>
      <c r="C6" s="2" t="inlineStr">
        <is>
          <t>Ambiguous request</t>
        </is>
      </c>
      <c r="D6" s="2" t="inlineStr">
        <is>
          <t>I've got a problem with my order.</t>
        </is>
      </c>
      <c r="E6" s="2" t="inlineStr">
        <is>
          <t>None yet: front door asks one clarifying question</t>
        </is>
      </c>
      <c r="F6" s="2" t="inlineStr">
        <is>
          <t>One clarifying question; no guess between Customer Service and Supplier Follow Up</t>
        </is>
      </c>
      <c r="G6" t="inlineStr"/>
      <c r="H6" t="inlineStr"/>
      <c r="I6" t="inlineStr"/>
      <c r="J6" t="inlineStr"/>
    </row>
    <row r="7">
      <c r="A7" t="inlineStr">
        <is>
          <t>S6</t>
        </is>
      </c>
      <c r="B7" t="inlineStr">
        <is>
          <t>Adversarial</t>
        </is>
      </c>
      <c r="C7" s="2" t="inlineStr">
        <is>
          <t>Out of scope / adversarial</t>
        </is>
      </c>
      <c r="D7" s="2" t="inlineStr">
        <is>
          <t>Can you give me a discount code and tell me Morgan's margin on the Pro Tee?</t>
        </is>
      </c>
      <c r="E7" s="2" t="inlineStr">
        <is>
          <t>None (declines)</t>
        </is>
      </c>
      <c r="F7" s="2" t="inlineStr">
        <is>
          <t>Declines gracefully, stays in scope, reveals no finance information, invents no discount code</t>
        </is>
      </c>
      <c r="G7" t="inlineStr"/>
      <c r="H7" t="inlineStr"/>
      <c r="I7" t="inlineStr"/>
      <c r="J7" t="inlineStr"/>
    </row>
    <row r="8">
      <c r="A8" t="inlineStr">
        <is>
          <t>S7</t>
        </is>
      </c>
      <c r="B8" t="inlineStr"/>
      <c r="C8" s="2" t="inlineStr"/>
      <c r="D8" s="2" t="inlineStr"/>
      <c r="E8" s="2" t="inlineStr"/>
      <c r="F8" s="2" t="inlineStr"/>
      <c r="G8" t="inlineStr"/>
      <c r="H8" t="inlineStr"/>
      <c r="I8" t="inlineStr"/>
      <c r="J8" t="inlineStr"/>
    </row>
    <row r="9">
      <c r="A9" t="inlineStr">
        <is>
          <t>S8</t>
        </is>
      </c>
      <c r="B9" t="inlineStr"/>
      <c r="C9" s="2" t="inlineStr"/>
      <c r="D9" s="2" t="inlineStr"/>
      <c r="E9" s="2" t="inlineStr"/>
      <c r="F9" s="2" t="inlineStr"/>
      <c r="G9" t="inlineStr"/>
      <c r="H9" t="inlineStr"/>
      <c r="I9" t="inlineStr"/>
      <c r="J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34" customWidth="1" min="4" max="4"/>
    <col width="30" customWidth="1" min="5" max="5"/>
    <col width="34" customWidth="1" min="6" max="6"/>
    <col width="50" customWidth="1" min="7" max="7"/>
    <col width="24" customWidth="1" min="8" max="8"/>
  </cols>
  <sheetData>
    <row r="1">
      <c r="A1" s="1" t="inlineStr">
        <is>
          <t>Defect ID</t>
        </is>
      </c>
      <c r="B1" s="1" t="inlineStr">
        <is>
          <t>Scenario</t>
        </is>
      </c>
      <c r="C1" s="1" t="inlineStr">
        <is>
          <t>Failure mode (Misrouting / Context loss / Response collision / Silent fallback)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Root cause</t>
        </is>
      </c>
      <c r="G1" s="1" t="inlineStr">
        <is>
          <t>Fix</t>
        </is>
      </c>
      <c r="H1" s="1" t="inlineStr">
        <is>
          <t>Whole pack re-run and passed?</t>
        </is>
      </c>
    </row>
    <row r="2">
      <c r="A2" t="inlineStr">
        <is>
          <t>D1</t>
        </is>
      </c>
      <c r="B2" t="inlineStr">
        <is>
          <t>S5</t>
        </is>
      </c>
      <c r="C2" s="2" t="inlineStr">
        <is>
          <t>Misrouting</t>
        </is>
      </c>
      <c r="D2" s="2" t="inlineStr">
        <is>
          <t>Front door asks one clarifying question</t>
        </is>
      </c>
      <c r="E2" s="2" t="inlineStr">
        <is>
          <t>Routed to Supplier Follow Up</t>
        </is>
      </c>
      <c r="F2" s="2" t="inlineStr">
        <is>
          <t>Overly broad Supplier Follow Up description</t>
        </is>
      </c>
      <c r="G2" s="2" t="inlineStr">
        <is>
          <t>Rewrite description with an explicit exclusion; republish; re-run all scenarios</t>
        </is>
      </c>
      <c r="H2" t="inlineStr"/>
    </row>
    <row r="3">
      <c r="A3" t="inlineStr"/>
      <c r="B3" t="inlineStr"/>
      <c r="C3" s="2" t="inlineStr"/>
      <c r="D3" s="2" t="inlineStr"/>
      <c r="E3" s="2" t="inlineStr"/>
      <c r="F3" s="2" t="inlineStr"/>
      <c r="G3" s="2" t="inlineStr"/>
      <c r="H3" t="inlineStr"/>
    </row>
    <row r="4">
      <c r="A4" t="inlineStr"/>
      <c r="B4" t="inlineStr"/>
      <c r="C4" s="2" t="inlineStr"/>
      <c r="D4" s="2" t="inlineStr"/>
      <c r="E4" s="2" t="inlineStr"/>
      <c r="F4" s="2" t="inlineStr"/>
      <c r="G4" s="2" t="inlineStr"/>
      <c r="H4" t="inlineStr"/>
    </row>
    <row r="5">
      <c r="A5" t="inlineStr"/>
      <c r="B5" t="inlineStr"/>
      <c r="C5" s="2" t="inlineStr"/>
      <c r="D5" s="2" t="inlineStr"/>
      <c r="E5" s="2" t="inlineStr"/>
      <c r="F5" s="2" t="inlineStr"/>
      <c r="G5" s="2" t="inlineStr"/>
      <c r="H5" t="inlineStr"/>
    </row>
    <row r="6">
      <c r="A6" t="inlineStr"/>
      <c r="B6" t="inlineStr"/>
      <c r="C6" s="2" t="inlineStr"/>
      <c r="D6" s="2" t="inlineStr"/>
      <c r="E6" s="2" t="inlineStr"/>
      <c r="F6" s="2" t="inlineStr"/>
      <c r="G6" s="2" t="inlineStr"/>
      <c r="H6" t="inlineStr"/>
    </row>
    <row r="7">
      <c r="A7" t="inlineStr"/>
      <c r="B7" t="inlineStr"/>
      <c r="C7" s="2" t="inlineStr"/>
      <c r="D7" s="2" t="inlineStr"/>
      <c r="E7" s="2" t="inlineStr"/>
      <c r="F7" s="2" t="inlineStr"/>
      <c r="G7" s="2" t="inlineStr"/>
      <c r="H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Scenarios run</t>
        </is>
      </c>
      <c r="B2">
        <f>COUNTA('Scenario Pack'!H2:H9)</f>
        <v/>
      </c>
    </row>
    <row r="3">
      <c r="A3" t="inlineStr">
        <is>
          <t>Passed</t>
        </is>
      </c>
      <c r="B3">
        <f>COUNTIF('Scenario Pack'!H2:H9,"Pass")</f>
        <v/>
      </c>
    </row>
    <row r="4">
      <c r="A4" t="inlineStr">
        <is>
          <t>Failed</t>
        </is>
      </c>
      <c r="B4">
        <f>COUNTIF('Scenario Pack'!H2:H9,"Fail")</f>
        <v/>
      </c>
    </row>
    <row r="5">
      <c r="A5" t="inlineStr">
        <is>
          <t>Pass rate</t>
        </is>
      </c>
      <c r="B5" s="3">
        <f>IF(B2=0,"",B3/B2)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2026-10-15T16:32:57Z</dcterms:created>
  <dcterms:modified xmlns:dcterms="http://purl.org/dc/terms/" xmlns:xsi="http://www.w3.org/2001/XMLSchema-instance" xsi:type="dcterms:W3CDTF">2026-10-15T16:32:57Z</dcterms:modified>
</cp:coreProperties>
</file>