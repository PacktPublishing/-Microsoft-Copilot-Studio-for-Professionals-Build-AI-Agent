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Area Summary" sheetId="2" state="visible" r:id="rId2"/>
    <sheet xmlns:r="http://schemas.openxmlformats.org/officeDocument/2006/relationships" name="Monthly Agent Review" sheetId="3" state="visible" r:id="rId3"/>
    <sheet xmlns:r="http://schemas.openxmlformats.org/officeDocument/2006/relationships" name="Top 3 Governance Ga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</font>
    <font>
      <color rgb="000000FF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3" fillId="3" borderId="0" pivotButton="0" quotePrefix="0" xfId="0"/>
    <xf numFmtId="0" fontId="4" fillId="0" borderId="0" pivotButton="0" quotePrefix="0" xfId="0"/>
    <xf numFmtId="0" fontId="0" fillId="3" borderId="0" pivotButton="0" quotePrefix="0" xfId="0"/>
    <xf numFmtId="9" fontId="0" fillId="3" borderId="0" pivotButton="0" quotePrefix="0" xfId="0"/>
    <xf numFmtId="0" fontId="2" fillId="2" borderId="0" pivotButton="0" quotePrefix="0" xfId="0"/>
    <xf numFmtId="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10" customWidth="1" min="3" max="3"/>
    <col width="12" customWidth="1" min="4" max="4"/>
    <col width="14" customWidth="1" min="5" max="5"/>
    <col width="10" customWidth="1" min="6" max="6"/>
    <col width="16" customWidth="1" min="7" max="7"/>
    <col width="60" customWidth="1" min="8" max="8"/>
  </cols>
  <sheetData>
    <row r="1">
      <c r="A1" s="1" t="inlineStr">
        <is>
          <t>Governance and Cost Review Scorecard - Pashun Sports multi-agent system</t>
        </is>
      </c>
    </row>
    <row r="2">
      <c r="A2" t="inlineStr">
        <is>
          <t>Score each criterion from 0 to 5 (0 = nothing in place, 3 = partly in place, 5 = fully in place and tested). Weights must total 100. Yellow cells are inputs; scores shown are a worked example.</t>
        </is>
      </c>
    </row>
    <row r="4">
      <c r="A4" s="2" t="inlineStr">
        <is>
          <t>Area</t>
        </is>
      </c>
      <c r="B4" s="2" t="inlineStr">
        <is>
          <t>Criterion</t>
        </is>
      </c>
      <c r="C4" s="2" t="inlineStr">
        <is>
          <t>Weight</t>
        </is>
      </c>
      <c r="D4" s="2" t="inlineStr">
        <is>
          <t>Score (0-5)</t>
        </is>
      </c>
      <c r="E4" s="2" t="inlineStr">
        <is>
          <t>Weighted score</t>
        </is>
      </c>
      <c r="F4" s="2" t="inlineStr">
        <is>
          <t>Status</t>
        </is>
      </c>
      <c r="G4" s="2" t="inlineStr">
        <is>
          <t>Owner</t>
        </is>
      </c>
      <c r="H4" s="2" t="inlineStr">
        <is>
          <t>Evidence / next action</t>
        </is>
      </c>
    </row>
    <row r="5">
      <c r="A5" t="inlineStr">
        <is>
          <t>Architecture</t>
        </is>
      </c>
      <c r="B5" s="3" t="inlineStr">
        <is>
          <t>Each agent has one clear job and a routing description with a boundary statement</t>
        </is>
      </c>
      <c r="C5" s="4" t="n">
        <v>12</v>
      </c>
      <c r="D5" s="4" t="n">
        <v>4</v>
      </c>
      <c r="E5">
        <f>C5*D5/5</f>
        <v/>
      </c>
      <c r="F5">
        <f>IF(D5&gt;=4,"Green",IF(D5&gt;=3,"Amber","Red"))</f>
        <v/>
      </c>
      <c r="G5" t="inlineStr">
        <is>
          <t>Paul Ashun</t>
        </is>
      </c>
      <c r="H5" s="3" t="inlineStr">
        <is>
          <t>Four agents have descriptions; the ambiguous "order is late" probe fixed by tightening descriptions</t>
        </is>
      </c>
    </row>
    <row r="6">
      <c r="A6" t="inlineStr">
        <is>
          <t>Architecture</t>
        </is>
      </c>
      <c r="B6" s="3" t="inlineStr">
        <is>
          <t>Front door holds no deep domain knowledge (routing plus fallback only)</t>
        </is>
      </c>
      <c r="C6" s="4" t="n">
        <v>5</v>
      </c>
      <c r="D6" s="4" t="n">
        <v>5</v>
      </c>
      <c r="E6">
        <f>C6*D6/5</f>
        <v/>
      </c>
      <c r="F6">
        <f>IF(D6&gt;=4,"Green",IF(D6&gt;=3,"Amber","Red"))</f>
        <v/>
      </c>
      <c r="G6" t="inlineStr">
        <is>
          <t>Paul Ashun</t>
        </is>
      </c>
      <c r="H6" s="3" t="inlineStr">
        <is>
          <t>Front door stripped back to routing plus fallback</t>
        </is>
      </c>
    </row>
    <row r="7">
      <c r="A7" t="inlineStr">
        <is>
          <t>Knowledge</t>
        </is>
      </c>
      <c r="B7" s="3" t="inlineStr">
        <is>
          <t>Each specialist has only the knowledge it needs; sources are approved</t>
        </is>
      </c>
      <c r="C7" s="4" t="n">
        <v>8</v>
      </c>
      <c r="D7" s="4" t="n">
        <v>4</v>
      </c>
      <c r="E7">
        <f>C7*D7/5</f>
        <v/>
      </c>
      <c r="F7">
        <f>IF(D7&gt;=4,"Green",IF(D7&gt;=3,"Amber","Red"))</f>
        <v/>
      </c>
      <c r="G7" t="inlineStr">
        <is>
          <t>Jamie Jordan</t>
        </is>
      </c>
      <c r="H7" s="3" t="inlineStr">
        <is>
          <t>Customer Policies, Ridgeline agreement and sales workbook only</t>
        </is>
      </c>
    </row>
    <row r="8">
      <c r="A8" t="inlineStr">
        <is>
          <t>Security</t>
        </is>
      </c>
      <c r="B8" s="3" t="inlineStr">
        <is>
          <t>DLP policy with Business / Non-Business / Blocked applied to Production</t>
        </is>
      </c>
      <c r="C8" s="4" t="n">
        <v>10</v>
      </c>
      <c r="D8" s="4" t="n">
        <v>4</v>
      </c>
      <c r="E8">
        <f>C8*D8/5</f>
        <v/>
      </c>
      <c r="F8">
        <f>IF(D8&gt;=4,"Green",IF(D8&gt;=3,"Amber","Red"))</f>
        <v/>
      </c>
      <c r="G8" t="inlineStr">
        <is>
          <t>Paul Ashun</t>
        </is>
      </c>
      <c r="H8" s="3" t="inlineStr">
        <is>
          <t>DLP applied; confirm Production scope</t>
        </is>
      </c>
    </row>
    <row r="9">
      <c r="A9" t="inlineStr">
        <is>
          <t>Security</t>
        </is>
      </c>
      <c r="B9" s="3" t="inlineStr">
        <is>
          <t>Sharing restricted to an Entra security group (PS-All-Employees); Authenticate with Microsoft</t>
        </is>
      </c>
      <c r="C9" s="4" t="n">
        <v>10</v>
      </c>
      <c r="D9" s="4" t="n">
        <v>5</v>
      </c>
      <c r="E9">
        <f>C9*D9/5</f>
        <v/>
      </c>
      <c r="F9">
        <f>IF(D9&gt;=4,"Green",IF(D9&gt;=3,"Amber","Red"))</f>
        <v/>
      </c>
      <c r="G9" t="inlineStr">
        <is>
          <t>Paul Ashun</t>
        </is>
      </c>
      <c r="H9" s="3" t="inlineStr">
        <is>
          <t>PS-All-Employees group set; Authenticate with Microsoft on all four</t>
        </is>
      </c>
    </row>
    <row r="10">
      <c r="A10" t="inlineStr">
        <is>
          <t>Security</t>
        </is>
      </c>
      <c r="B10" s="3" t="inlineStr">
        <is>
          <t>Wholesale prices and other restricted data cannot be reached (tested)</t>
        </is>
      </c>
      <c r="C10" s="4" t="n">
        <v>8</v>
      </c>
      <c r="D10" s="4" t="n">
        <v>5</v>
      </c>
      <c r="E10">
        <f>C10*D10/5</f>
        <v/>
      </c>
      <c r="F10">
        <f>IF(D10&gt;=4,"Green",IF(D10&gt;=3,"Amber","Red"))</f>
        <v/>
      </c>
      <c r="G10" t="inlineStr">
        <is>
          <t>Morgan Reyes</t>
        </is>
      </c>
      <c r="H10" s="3" t="inlineStr">
        <is>
          <t>Wholesale price probe refused and logged</t>
        </is>
      </c>
    </row>
    <row r="11">
      <c r="A11" t="inlineStr">
        <is>
          <t>Lifecycle</t>
        </is>
      </c>
      <c r="B11" s="3" t="inlineStr">
        <is>
          <t>Solution-based promotion Dev &gt; Test &gt; Production; tests rerun in Test</t>
        </is>
      </c>
      <c r="C11" s="4" t="n">
        <v>14</v>
      </c>
      <c r="D11" s="4" t="n">
        <v>4</v>
      </c>
      <c r="E11">
        <f>C11*D11/5</f>
        <v/>
      </c>
      <c r="F11">
        <f>IF(D11&gt;=4,"Green",IF(D11&gt;=3,"Amber","Red"))</f>
        <v/>
      </c>
      <c r="G11" t="inlineStr">
        <is>
          <t>Jamie Jordan</t>
        </is>
      </c>
      <c r="H11" s="3" t="inlineStr">
        <is>
          <t>Solution exported Dev to Test; Production import pending</t>
        </is>
      </c>
    </row>
    <row r="12">
      <c r="A12" t="inlineStr">
        <is>
          <t>Cost</t>
        </is>
      </c>
      <c r="B12" s="3" t="inlineStr">
        <is>
          <t>Forecast built in the Agent Usage Estimator with 30% contingency and a worst case</t>
        </is>
      </c>
      <c r="C12" s="4" t="n">
        <v>10</v>
      </c>
      <c r="D12" s="4" t="n">
        <v>4</v>
      </c>
      <c r="E12">
        <f>C12*D12/5</f>
        <v/>
      </c>
      <c r="F12">
        <f>IF(D12&gt;=4,"Green",IF(D12&gt;=3,"Amber","Red"))</f>
        <v/>
      </c>
      <c r="G12" t="inlineStr">
        <is>
          <t>Morgan Reyes</t>
        </is>
      </c>
      <c r="H12" s="3" t="inlineStr">
        <is>
          <t>Estimator done; worst case still to add</t>
        </is>
      </c>
    </row>
    <row r="13">
      <c r="A13" t="inlineStr">
        <is>
          <t>Cost</t>
        </is>
      </c>
      <c r="B13" s="3" t="inlineStr">
        <is>
          <t>Forecast compared with the Capacity page; billing alert at 80%</t>
        </is>
      </c>
      <c r="C13" s="4" t="n">
        <v>9</v>
      </c>
      <c r="D13" s="4" t="n">
        <v>3</v>
      </c>
      <c r="E13">
        <f>C13*D13/5</f>
        <v/>
      </c>
      <c r="F13">
        <f>IF(D13&gt;=4,"Green",IF(D13&gt;=3,"Amber","Red"))</f>
        <v/>
      </c>
      <c r="G13" t="inlineStr">
        <is>
          <t>Morgan Reyes</t>
        </is>
      </c>
      <c r="H13" s="3" t="inlineStr">
        <is>
          <t>Capacity page checked once; alert not set yet</t>
        </is>
      </c>
    </row>
    <row r="14">
      <c r="A14" t="inlineStr">
        <is>
          <t>Operations</t>
        </is>
      </c>
      <c r="B14" s="3" t="inlineStr">
        <is>
          <t>Monthly review scheduled with an owner per agent</t>
        </is>
      </c>
      <c r="C14" s="4" t="n">
        <v>9</v>
      </c>
      <c r="D14" s="4" t="n">
        <v>3</v>
      </c>
      <c r="E14">
        <f>C14*D14/5</f>
        <v/>
      </c>
      <c r="F14">
        <f>IF(D14&gt;=4,"Green",IF(D14&gt;=3,"Amber","Red"))</f>
        <v/>
      </c>
      <c r="G14" t="inlineStr">
        <is>
          <t>Jamie Jordan</t>
        </is>
      </c>
      <c r="H14" s="3" t="inlineStr">
        <is>
          <t>First review booked, owners to confirm</t>
        </is>
      </c>
    </row>
    <row r="15">
      <c r="A15" t="inlineStr">
        <is>
          <t>Operations</t>
        </is>
      </c>
      <c r="B15" s="3" t="inlineStr">
        <is>
          <t>Monitor metrics tracked: engagement, resolution, escalation, abandoned sessions</t>
        </is>
      </c>
      <c r="C15" s="4" t="n">
        <v>5</v>
      </c>
      <c r="D15" s="4" t="n">
        <v>3</v>
      </c>
      <c r="E15">
        <f>C15*D15/5</f>
        <v/>
      </c>
      <c r="F15">
        <f>IF(D15&gt;=4,"Green",IF(D15&gt;=3,"Amber","Red"))</f>
        <v/>
      </c>
      <c r="G15" t="inlineStr">
        <is>
          <t>Jamie Jordan</t>
        </is>
      </c>
      <c r="H15" s="3" t="inlineStr">
        <is>
          <t>Monitor tab opened; no baseline yet</t>
        </is>
      </c>
    </row>
    <row r="16">
      <c r="A16" s="5" t="inlineStr">
        <is>
          <t>Totals</t>
        </is>
      </c>
      <c r="C16" s="6">
        <f>SUM(C5:C15)</f>
        <v/>
      </c>
      <c r="D16" s="6" t="n"/>
      <c r="E16">
        <f>SUM(E5:E15)</f>
        <v/>
      </c>
    </row>
    <row r="17">
      <c r="A17" s="5" t="inlineStr">
        <is>
          <t>Weights total check</t>
        </is>
      </c>
      <c r="C17" s="6">
        <f>IF(C16=100,"OK: weights total 100","Fix: weights must total 100")</f>
        <v/>
      </c>
      <c r="D17" s="6" t="n"/>
    </row>
    <row r="18">
      <c r="A18" s="5" t="inlineStr">
        <is>
          <t>Overall score (%)</t>
        </is>
      </c>
      <c r="C18" s="7">
        <f>E16/C16</f>
        <v/>
      </c>
      <c r="D18" s="6" t="n"/>
    </row>
    <row r="19">
      <c r="A19" s="5" t="inlineStr">
        <is>
          <t>Rating</t>
        </is>
      </c>
      <c r="C19">
        <f>IF(C18&gt;=0.85,"Ready for scale",IF(C18&gt;=0.7,"Ready for pilot with actions",IF(C18&gt;=0.5,"Not ready: close the red items","Stop: major gaps")))</f>
        <v/>
      </c>
    </row>
    <row r="20">
      <c r="A20" s="5" t="inlineStr">
        <is>
          <t>Red items</t>
        </is>
      </c>
      <c r="C20">
        <f>COUNTIF(F5:F15,"Red")</f>
        <v/>
      </c>
    </row>
    <row r="21">
      <c r="A21" s="5" t="inlineStr">
        <is>
          <t>Amber items</t>
        </is>
      </c>
      <c r="C21">
        <f>COUNTIF(F5:F15,"Amber")</f>
        <v/>
      </c>
    </row>
    <row r="22">
      <c r="A22" s="5" t="inlineStr">
        <is>
          <t>Weighted score by area (see Area Summary sheet)</t>
        </is>
      </c>
    </row>
  </sheetData>
  <dataValidations count="1">
    <dataValidation sqref="D5:D15" showDropDown="0" showInputMessage="0" showErrorMessage="1" allowBlank="1" error="Enter a whole number from 0 to 5" type="whole" operator="between">
      <formula1>0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16" customWidth="1" min="4" max="4"/>
    <col width="10" customWidth="1" min="5" max="5"/>
  </cols>
  <sheetData>
    <row r="1">
      <c r="A1" s="8" t="inlineStr">
        <is>
          <t>Area</t>
        </is>
      </c>
      <c r="B1" s="8" t="inlineStr">
        <is>
          <t>Weight</t>
        </is>
      </c>
      <c r="C1" s="8" t="inlineStr">
        <is>
          <t>Weighted score</t>
        </is>
      </c>
      <c r="D1" s="8" t="inlineStr">
        <is>
          <t>Area score (%)</t>
        </is>
      </c>
      <c r="E1" s="8" t="inlineStr">
        <is>
          <t>Status</t>
        </is>
      </c>
    </row>
    <row r="2">
      <c r="A2" t="inlineStr">
        <is>
          <t>Architecture</t>
        </is>
      </c>
      <c r="B2">
        <f>SUMIFS(Scorecard!$C$5:$C$15,Scorecard!$A$5:$A$15,A2)</f>
        <v/>
      </c>
      <c r="C2">
        <f>SUMIFS(Scorecard!$E$5:$E$15,Scorecard!$A$5:$A$15,A2)</f>
        <v/>
      </c>
      <c r="D2" s="9">
        <f>IF(B2=0,"",C2/B2)</f>
        <v/>
      </c>
      <c r="E2">
        <f>IF(D2="","",IF(D2&gt;=0.8,"Green",IF(D2&gt;=0.6,"Amber","Red")))</f>
        <v/>
      </c>
    </row>
    <row r="3">
      <c r="A3" t="inlineStr">
        <is>
          <t>Knowledge</t>
        </is>
      </c>
      <c r="B3">
        <f>SUMIFS(Scorecard!$C$5:$C$15,Scorecard!$A$5:$A$15,A3)</f>
        <v/>
      </c>
      <c r="C3">
        <f>SUMIFS(Scorecard!$E$5:$E$15,Scorecard!$A$5:$A$15,A3)</f>
        <v/>
      </c>
      <c r="D3" s="9">
        <f>IF(B3=0,"",C3/B3)</f>
        <v/>
      </c>
      <c r="E3">
        <f>IF(D3="","",IF(D3&gt;=0.8,"Green",IF(D3&gt;=0.6,"Amber","Red")))</f>
        <v/>
      </c>
    </row>
    <row r="4">
      <c r="A4" t="inlineStr">
        <is>
          <t>Security</t>
        </is>
      </c>
      <c r="B4">
        <f>SUMIFS(Scorecard!$C$5:$C$15,Scorecard!$A$5:$A$15,A4)</f>
        <v/>
      </c>
      <c r="C4">
        <f>SUMIFS(Scorecard!$E$5:$E$15,Scorecard!$A$5:$A$15,A4)</f>
        <v/>
      </c>
      <c r="D4" s="9">
        <f>IF(B4=0,"",C4/B4)</f>
        <v/>
      </c>
      <c r="E4">
        <f>IF(D4="","",IF(D4&gt;=0.8,"Green",IF(D4&gt;=0.6,"Amber","Red")))</f>
        <v/>
      </c>
    </row>
    <row r="5">
      <c r="A5" t="inlineStr">
        <is>
          <t>Lifecycle</t>
        </is>
      </c>
      <c r="B5">
        <f>SUMIFS(Scorecard!$C$5:$C$15,Scorecard!$A$5:$A$15,A5)</f>
        <v/>
      </c>
      <c r="C5">
        <f>SUMIFS(Scorecard!$E$5:$E$15,Scorecard!$A$5:$A$15,A5)</f>
        <v/>
      </c>
      <c r="D5" s="9">
        <f>IF(B5=0,"",C5/B5)</f>
        <v/>
      </c>
      <c r="E5">
        <f>IF(D5="","",IF(D5&gt;=0.8,"Green",IF(D5&gt;=0.6,"Amber","Red")))</f>
        <v/>
      </c>
    </row>
    <row r="6">
      <c r="A6" t="inlineStr">
        <is>
          <t>Cost</t>
        </is>
      </c>
      <c r="B6">
        <f>SUMIFS(Scorecard!$C$5:$C$15,Scorecard!$A$5:$A$15,A6)</f>
        <v/>
      </c>
      <c r="C6">
        <f>SUMIFS(Scorecard!$E$5:$E$15,Scorecard!$A$5:$A$15,A6)</f>
        <v/>
      </c>
      <c r="D6" s="9">
        <f>IF(B6=0,"",C6/B6)</f>
        <v/>
      </c>
      <c r="E6">
        <f>IF(D6="","",IF(D6&gt;=0.8,"Green",IF(D6&gt;=0.6,"Amber","Red")))</f>
        <v/>
      </c>
    </row>
    <row r="7">
      <c r="A7" t="inlineStr">
        <is>
          <t>Operations</t>
        </is>
      </c>
      <c r="B7">
        <f>SUMIFS(Scorecard!$C$5:$C$15,Scorecard!$A$5:$A$15,A7)</f>
        <v/>
      </c>
      <c r="C7">
        <f>SUMIFS(Scorecard!$E$5:$E$15,Scorecard!$A$5:$A$15,A7)</f>
        <v/>
      </c>
      <c r="D7" s="9">
        <f>IF(B7=0,"",C7/B7)</f>
        <v/>
      </c>
      <c r="E7">
        <f>IF(D7="","",IF(D7&gt;=0.8,"Green",IF(D7&gt;=0.6,"Amber","Red")))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50" customWidth="1" min="11" max="11"/>
    <col width="16" customWidth="1" min="12" max="12"/>
    <col width="16" customWidth="1" min="13" max="13"/>
    <col width="14" customWidth="1" min="14" max="14"/>
  </cols>
  <sheetData>
    <row r="1" ht="48" customHeight="1">
      <c r="A1" s="2" t="inlineStr">
        <is>
          <t>Agent</t>
        </is>
      </c>
      <c r="B1" s="2" t="inlineStr">
        <is>
          <t>Owner</t>
        </is>
      </c>
      <c r="C1" s="2" t="inlineStr">
        <is>
          <t>Engagement rate</t>
        </is>
      </c>
      <c r="D1" s="2" t="inlineStr">
        <is>
          <t>Resolution rate</t>
        </is>
      </c>
      <c r="E1" s="2" t="inlineStr">
        <is>
          <t>Escalation rate</t>
        </is>
      </c>
      <c r="F1" s="2" t="inlineStr">
        <is>
          <t>Abandoned sessions rate</t>
        </is>
      </c>
      <c r="G1" s="2" t="inlineStr">
        <is>
          <t>Target escalation rate (max)</t>
        </is>
      </c>
      <c r="H1" s="2" t="inlineStr">
        <is>
          <t>Target resolution rate (min)</t>
        </is>
      </c>
      <c r="I1" s="2" t="inlineStr">
        <is>
          <t>Escalation check</t>
        </is>
      </c>
      <c r="J1" s="2" t="inlineStr">
        <is>
          <t>Resolution check</t>
        </is>
      </c>
      <c r="K1" s="2" t="inlineStr">
        <is>
          <t>Top 3 improvements</t>
        </is>
      </c>
      <c r="L1" s="2" t="inlineStr">
        <is>
          <t>Credits used this month</t>
        </is>
      </c>
      <c r="M1" s="2" t="inlineStr">
        <is>
          <t>Credits forecast</t>
        </is>
      </c>
      <c r="N1" s="2" t="inlineStr">
        <is>
          <t>Credit variance</t>
        </is>
      </c>
    </row>
    <row r="2">
      <c r="A2" t="inlineStr">
        <is>
          <t>PS-Project-Support-Helper</t>
        </is>
      </c>
      <c r="B2" t="inlineStr">
        <is>
          <t>Jamie Jordan</t>
        </is>
      </c>
      <c r="C2" s="7" t="n"/>
      <c r="D2" s="7" t="n"/>
      <c r="E2" s="7" t="n"/>
      <c r="F2" s="7" t="n"/>
      <c r="G2" s="7" t="n">
        <v>0.12</v>
      </c>
      <c r="H2" s="7" t="n">
        <v>0.7</v>
      </c>
      <c r="I2">
        <f>IF(E2="","",IF(E2&lt;=G2,"OK","Above target"))</f>
        <v/>
      </c>
      <c r="J2">
        <f>IF(D2="","",IF(D2&gt;=H2,"OK","Below target"))</f>
        <v/>
      </c>
      <c r="L2" s="6" t="n"/>
      <c r="M2" s="6" t="n"/>
      <c r="N2" s="10">
        <f>IF(OR(L2="",M2=""),"",L2-M2)</f>
        <v/>
      </c>
    </row>
    <row r="3">
      <c r="A3" t="inlineStr">
        <is>
          <t>PS-Customer-Service</t>
        </is>
      </c>
      <c r="B3" t="inlineStr">
        <is>
          <t>Jamie Jordan</t>
        </is>
      </c>
      <c r="C3" s="7" t="n"/>
      <c r="D3" s="7" t="n"/>
      <c r="E3" s="7" t="n"/>
      <c r="F3" s="7" t="n"/>
      <c r="G3" s="7" t="n">
        <v>0.12</v>
      </c>
      <c r="H3" s="7" t="n">
        <v>0.7</v>
      </c>
      <c r="I3">
        <f>IF(E3="","",IF(E3&lt;=G3,"OK","Above target"))</f>
        <v/>
      </c>
      <c r="J3">
        <f>IF(D3="","",IF(D3&gt;=H3,"OK","Below target"))</f>
        <v/>
      </c>
      <c r="L3" s="6" t="n"/>
      <c r="M3" s="6" t="n"/>
      <c r="N3" s="10">
        <f>IF(OR(L3="",M3=""),"",L3-M3)</f>
        <v/>
      </c>
    </row>
    <row r="4">
      <c r="A4" t="inlineStr">
        <is>
          <t>PS-Supplier-Follow-Up</t>
        </is>
      </c>
      <c r="B4" t="inlineStr">
        <is>
          <t>Jamie Jordan</t>
        </is>
      </c>
      <c r="C4" s="7" t="n"/>
      <c r="D4" s="7" t="n"/>
      <c r="E4" s="7" t="n"/>
      <c r="F4" s="7" t="n"/>
      <c r="G4" s="7" t="n">
        <v>0.12</v>
      </c>
      <c r="H4" s="7" t="n">
        <v>0.7</v>
      </c>
      <c r="I4">
        <f>IF(E4="","",IF(E4&lt;=G4,"OK","Above target"))</f>
        <v/>
      </c>
      <c r="J4">
        <f>IF(D4="","",IF(D4&gt;=H4,"OK","Below target"))</f>
        <v/>
      </c>
      <c r="L4" s="6" t="n"/>
      <c r="M4" s="6" t="n"/>
      <c r="N4" s="10">
        <f>IF(OR(L4="",M4=""),"",L4-M4)</f>
        <v/>
      </c>
    </row>
    <row r="5">
      <c r="A5" t="inlineStr">
        <is>
          <t>PS-Sales-Reporter</t>
        </is>
      </c>
      <c r="B5" t="inlineStr">
        <is>
          <t>Morgan Reyes</t>
        </is>
      </c>
      <c r="C5" s="7" t="n"/>
      <c r="D5" s="7" t="n"/>
      <c r="E5" s="7" t="n"/>
      <c r="F5" s="7" t="n"/>
      <c r="G5" s="7" t="n">
        <v>0.12</v>
      </c>
      <c r="H5" s="7" t="n">
        <v>0.7</v>
      </c>
      <c r="I5">
        <f>IF(E5="","",IF(E5&lt;=G5,"OK","Above target"))</f>
        <v/>
      </c>
      <c r="J5">
        <f>IF(D5="","",IF(D5&gt;=H5,"OK","Below target"))</f>
        <v/>
      </c>
      <c r="L5" s="6" t="n"/>
      <c r="M5" s="6" t="n"/>
      <c r="N5" s="10">
        <f>IF(OR(L5="",M5=""),"",L5-M5)</f>
        <v/>
      </c>
    </row>
    <row r="7">
      <c r="A7" t="inlineStr">
        <is>
          <t>Enter last month's figures from the Monitor tab (engagement, resolution, escalation, abandoned sessions) and credit use from the Capacity page. Targets are starting points: agree your own with each owner. Targets of 12% escalation and 70% resolution are examples only.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50" customWidth="1" min="3" max="3"/>
    <col width="24" customWidth="1" min="4" max="4"/>
    <col width="14" customWidth="1" min="5" max="5"/>
    <col width="12" customWidth="1" min="6" max="6"/>
  </cols>
  <sheetData>
    <row r="1">
      <c r="A1" s="8" t="inlineStr">
        <is>
          <t>Gap</t>
        </is>
      </c>
      <c r="B1" s="8" t="inlineStr">
        <is>
          <t>Area (DLP / ownership / sharing scope / other)</t>
        </is>
      </c>
      <c r="C1" s="8" t="inlineStr">
        <is>
          <t>Why it matters</t>
        </is>
      </c>
      <c r="D1" s="8" t="inlineStr">
        <is>
          <t>Owner (named person)</t>
        </is>
      </c>
      <c r="E1" s="8" t="inlineStr">
        <is>
          <t>Fix by</t>
        </is>
      </c>
      <c r="F1" s="8" t="inlineStr">
        <is>
          <t>Status</t>
        </is>
      </c>
    </row>
    <row r="2">
      <c r="A2" t="inlineStr">
        <is>
          <t>Example: Production DLP policy not yet reviewed after Operations Agent added</t>
        </is>
      </c>
      <c r="B2" t="inlineStr">
        <is>
          <t>DLP</t>
        </is>
      </c>
      <c r="C2" t="inlineStr">
        <is>
          <t>A new connector could mix Business and Non-Business groups</t>
        </is>
      </c>
      <c r="D2" t="inlineStr">
        <is>
          <t>Paul Ashun</t>
        </is>
      </c>
      <c r="E2" t="inlineStr">
        <is>
          <t>Nov 30, 2026</t>
        </is>
      </c>
      <c r="F2" t="inlineStr">
        <is>
          <t>Open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2026-10-15T16:34:36Z</dcterms:created>
  <dcterms:modified xmlns:dcterms="http://purl.org/dc/terms/" xmlns:xsi="http://www.w3.org/2001/XMLSchema-instance" xsi:type="dcterms:W3CDTF">2026-10-15T16:34:36Z</dcterms:modified>
</cp:coreProperties>
</file>